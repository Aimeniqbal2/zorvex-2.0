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B0F60B45-E394-4EDE-8A26-AF62B85819C5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1" l="1"/>
  <c r="H13" i="1" l="1"/>
  <c r="C18" i="1"/>
  <c r="H18" i="1"/>
  <c r="H15" i="1"/>
  <c r="H14" i="1"/>
  <c r="C15" i="1"/>
  <c r="C16" i="1"/>
  <c r="C20" i="1" l="1"/>
  <c r="N16" i="1" l="1"/>
  <c r="L15" i="1" l="1"/>
  <c r="G20" i="1" l="1"/>
  <c r="I22" i="1" l="1"/>
</calcChain>
</file>

<file path=xl/sharedStrings.xml><?xml version="1.0" encoding="utf-8"?>
<sst xmlns="http://schemas.openxmlformats.org/spreadsheetml/2006/main" count="57" uniqueCount="50">
  <si>
    <t>Gross Total</t>
  </si>
  <si>
    <t>Pay &amp; Allowance</t>
  </si>
  <si>
    <t>Deduction</t>
  </si>
  <si>
    <t>Late</t>
  </si>
  <si>
    <t>Holiday</t>
  </si>
  <si>
    <t xml:space="preserve"> </t>
  </si>
  <si>
    <t>Balance</t>
  </si>
  <si>
    <t>Half Days</t>
  </si>
  <si>
    <t>Damaged</t>
  </si>
  <si>
    <t>Loan</t>
  </si>
  <si>
    <t>Allowance &amp; Facilites</t>
  </si>
  <si>
    <t>Over Time</t>
  </si>
  <si>
    <t>Attendance Chart</t>
  </si>
  <si>
    <t>Name</t>
  </si>
  <si>
    <t>Month</t>
  </si>
  <si>
    <t>Designation</t>
  </si>
  <si>
    <t>Department</t>
  </si>
  <si>
    <t>Depatment</t>
  </si>
  <si>
    <t>Software</t>
  </si>
  <si>
    <t>Hardware</t>
  </si>
  <si>
    <t>Panel-Glass</t>
  </si>
  <si>
    <t>Senior Technicain (Software)</t>
  </si>
  <si>
    <t>Junior Technicain (Software)</t>
  </si>
  <si>
    <t>Senior Technicain (Hardware)</t>
  </si>
  <si>
    <t>Junior Technicain (Hardware)</t>
  </si>
  <si>
    <t>Helper/Intern (Software)</t>
  </si>
  <si>
    <t>Helper/Intern (Hardware)</t>
  </si>
  <si>
    <t>Senior Technicain (Panel)</t>
  </si>
  <si>
    <t>Junior Technicain (Panel)</t>
  </si>
  <si>
    <t>Requirement (Management)</t>
  </si>
  <si>
    <t>Sales/Accounts (Management)</t>
  </si>
  <si>
    <t>Staff Name</t>
  </si>
  <si>
    <t>Shahzaib Ali</t>
  </si>
  <si>
    <t>Malik Nisar Ahmed</t>
  </si>
  <si>
    <t>Management</t>
  </si>
  <si>
    <t>Sheikh Muhammad Afnan</t>
  </si>
  <si>
    <t>Muhammad Jahanzaib</t>
  </si>
  <si>
    <t>Penalty</t>
  </si>
  <si>
    <t>Bonus - Time</t>
  </si>
  <si>
    <t>Bonus - Zero Holiday</t>
  </si>
  <si>
    <t>Husnain Nasrullah</t>
  </si>
  <si>
    <t>Awais Abbasi</t>
  </si>
  <si>
    <t>Basic Salary</t>
  </si>
  <si>
    <t>Sheikh Muhammad Usman</t>
  </si>
  <si>
    <t>Ali Hammad</t>
  </si>
  <si>
    <t>Muhammad Asif</t>
  </si>
  <si>
    <t>SOFTECH Mobile Pvt Limited</t>
  </si>
  <si>
    <t>Wasey Zai</t>
  </si>
  <si>
    <r>
      <rPr>
        <b/>
        <sz val="28"/>
        <color theme="1"/>
        <rFont val="Bahnschrift Light SemiCondensed"/>
        <family val="2"/>
      </rPr>
      <t>SOFTECH</t>
    </r>
    <r>
      <rPr>
        <sz val="28"/>
        <color theme="1"/>
        <rFont val="Bahnschrift Light SemiCondensed"/>
        <family val="2"/>
      </rPr>
      <t xml:space="preserve"> </t>
    </r>
    <r>
      <rPr>
        <b/>
        <sz val="28"/>
        <color theme="1"/>
        <rFont val="Bahnschrift Light SemiCondensed"/>
        <family val="2"/>
      </rPr>
      <t>M</t>
    </r>
    <r>
      <rPr>
        <sz val="28"/>
        <color theme="1"/>
        <rFont val="Bahnschrift Light SemiCondensed"/>
        <family val="2"/>
      </rPr>
      <t xml:space="preserve">obile </t>
    </r>
    <r>
      <rPr>
        <b/>
        <sz val="28"/>
        <color theme="1"/>
        <rFont val="Bahnschrift Light SemiCondensed"/>
        <family val="2"/>
      </rPr>
      <t>(Sale &amp; Service)</t>
    </r>
  </si>
  <si>
    <t>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</si>
</sst>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0" x14ac:knownFonts="1">
    <font>
      <sz val="11"/>
      <color theme="1"/>
      <name val="Calibri"/>
      <family val="2"/>
      <scheme val="minor"/>
    </font>
    <font>
      <sz val="16"/>
      <color theme="0"/>
      <name val="Bahnschrift SemiBold SemiConden"/>
      <family val="2"/>
    </font>
    <font>
      <sz val="16"/>
      <color theme="1"/>
      <name val="Bahnschrift SemiBold SemiConden"/>
      <family val="2"/>
    </font>
    <font>
      <sz val="11"/>
      <color theme="1"/>
      <name val="Bahnschrift SemiBold SemiConden"/>
      <family val="2"/>
    </font>
    <font>
      <sz val="11"/>
      <color theme="0"/>
      <name val="Bahnschrift SemiBold SemiConden"/>
      <family val="2"/>
    </font>
    <font>
      <b/>
      <sz val="8"/>
      <color theme="1"/>
      <name val="Bahnschrift SemiBold SemiConden"/>
      <family val="2"/>
    </font>
    <font>
      <sz val="28"/>
      <color theme="1"/>
      <name val="Bahnschrift Light SemiCondensed"/>
      <family val="2"/>
    </font>
    <font>
      <b/>
      <sz val="28"/>
      <color theme="1"/>
      <name val="Bahnschrift Light SemiCondensed"/>
      <family val="2"/>
    </font>
    <font>
      <b/>
      <sz val="9"/>
      <color theme="1"/>
      <name val="Calibri"/>
      <family val="2"/>
      <scheme val="minor"/>
    </font>
    <font>
      <sz val="11"/>
      <color theme="1"/>
      <name val="Bahnschrift SemiCondensed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164" fontId="3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2" fillId="3" borderId="3" xfId="0" applyNumberFormat="1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23</xdr:row>
      <xdr:rowOff>1</xdr:rowOff>
    </xdr:from>
    <xdr:to>
      <xdr:col>11</xdr:col>
      <xdr:colOff>590550</xdr:colOff>
      <xdr:row>38</xdr:row>
      <xdr:rowOff>189049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438651"/>
          <a:ext cx="5895975" cy="30465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0"/>
  <sheetViews>
    <sheetView tabSelected="1" topLeftCell="A10" workbookViewId="0">
      <selection activeCell="H17" sqref="H17"/>
    </sheetView>
  </sheetViews>
  <sheetFormatPr defaultRowHeight="15" x14ac:dyDescent="0.25"/>
  <cols>
    <col min="1" max="1" width="17" bestFit="1" customWidth="1"/>
    <col min="2" max="2" width="4" customWidth="1"/>
    <col min="3" max="3" width="7.5703125" customWidth="1"/>
    <col min="4" max="4" width="1" customWidth="1"/>
    <col min="5" max="5" width="10.42578125" customWidth="1"/>
    <col min="6" max="6" width="4.42578125" customWidth="1"/>
    <col min="7" max="7" width="7.85546875" customWidth="1"/>
    <col min="8" max="8" width="10.28515625" customWidth="1"/>
    <col min="9" max="9" width="4.85546875" customWidth="1"/>
    <col min="10" max="10" width="1.140625" customWidth="1"/>
    <col min="11" max="11" width="11.28515625" customWidth="1"/>
    <col min="12" max="12" width="9.140625" customWidth="1"/>
    <col min="15" max="15" width="12.7109375" bestFit="1" customWidth="1"/>
    <col min="16" max="16" width="28.5703125" bestFit="1" customWidth="1"/>
    <col min="17" max="17" width="25.5703125" bestFit="1" customWidth="1"/>
  </cols>
  <sheetData>
    <row r="2" spans="1:17" x14ac:dyDescent="0.25">
      <c r="A2" s="35" t="s">
        <v>48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7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O3" s="23" t="s">
        <v>17</v>
      </c>
      <c r="P3" s="23" t="s">
        <v>15</v>
      </c>
      <c r="Q3" s="23" t="s">
        <v>31</v>
      </c>
    </row>
    <row r="4" spans="1:17" x14ac:dyDescent="0.25">
      <c r="A4" s="1"/>
      <c r="B4" s="1"/>
      <c r="C4" s="1"/>
      <c r="E4" s="1"/>
      <c r="F4" s="1"/>
      <c r="G4" s="1"/>
      <c r="H4" s="1"/>
      <c r="I4" s="1"/>
      <c r="K4" s="1"/>
      <c r="L4" s="1"/>
    </row>
    <row r="5" spans="1:17" x14ac:dyDescent="0.25">
      <c r="A5" s="1"/>
      <c r="B5" s="1"/>
      <c r="C5" s="1"/>
      <c r="E5" s="1"/>
      <c r="F5" s="1"/>
      <c r="G5" s="1"/>
      <c r="H5" s="1"/>
      <c r="I5" s="1"/>
      <c r="K5" s="1"/>
      <c r="L5" s="1"/>
      <c r="O5" s="23" t="s">
        <v>18</v>
      </c>
      <c r="P5" s="23" t="s">
        <v>21</v>
      </c>
      <c r="Q5" s="23" t="s">
        <v>32</v>
      </c>
    </row>
    <row r="6" spans="1:17" x14ac:dyDescent="0.25">
      <c r="A6" s="14" t="s">
        <v>13</v>
      </c>
      <c r="B6" s="30" t="s">
        <v>47</v>
      </c>
      <c r="C6" s="30"/>
      <c r="D6" s="30"/>
      <c r="E6" s="30"/>
      <c r="F6" s="30"/>
      <c r="G6" s="17"/>
      <c r="H6" s="27" t="s">
        <v>14</v>
      </c>
      <c r="I6" s="27"/>
      <c r="J6" s="27"/>
      <c r="K6" s="26">
        <v>46266</v>
      </c>
      <c r="L6" s="26"/>
      <c r="O6" s="23" t="s">
        <v>19</v>
      </c>
      <c r="P6" s="23" t="s">
        <v>22</v>
      </c>
      <c r="Q6" s="23" t="s">
        <v>35</v>
      </c>
    </row>
    <row r="7" spans="1:17" x14ac:dyDescent="0.25">
      <c r="A7" s="15"/>
      <c r="B7" s="19"/>
      <c r="C7" s="19"/>
      <c r="D7" s="19"/>
      <c r="E7" s="19"/>
      <c r="F7" s="19"/>
      <c r="G7" s="17"/>
      <c r="H7" s="16"/>
      <c r="I7" s="16"/>
      <c r="J7" s="16"/>
      <c r="K7" s="20"/>
      <c r="L7" s="20"/>
      <c r="O7" s="23" t="s">
        <v>20</v>
      </c>
      <c r="P7" s="23" t="s">
        <v>25</v>
      </c>
      <c r="Q7" s="23" t="s">
        <v>33</v>
      </c>
    </row>
    <row r="8" spans="1:17" x14ac:dyDescent="0.25">
      <c r="A8" s="14" t="s">
        <v>15</v>
      </c>
      <c r="B8" s="30" t="s">
        <v>24</v>
      </c>
      <c r="C8" s="30"/>
      <c r="D8" s="30"/>
      <c r="E8" s="30"/>
      <c r="F8" s="30"/>
      <c r="G8" s="17"/>
      <c r="H8" s="28" t="s">
        <v>16</v>
      </c>
      <c r="I8" s="28"/>
      <c r="J8" s="28"/>
      <c r="K8" s="29" t="s">
        <v>19</v>
      </c>
      <c r="L8" s="29"/>
      <c r="O8" s="23" t="s">
        <v>34</v>
      </c>
      <c r="P8" s="23" t="s">
        <v>23</v>
      </c>
      <c r="Q8" s="23" t="s">
        <v>36</v>
      </c>
    </row>
    <row r="9" spans="1:17" x14ac:dyDescent="0.25">
      <c r="A9" s="15"/>
      <c r="B9" s="19"/>
      <c r="C9" s="19"/>
      <c r="D9" s="19"/>
      <c r="E9" s="19"/>
      <c r="F9" s="19"/>
      <c r="G9" s="17"/>
      <c r="H9" s="15"/>
      <c r="I9" s="15"/>
      <c r="J9" s="15"/>
      <c r="K9" s="21"/>
      <c r="L9" s="21"/>
      <c r="P9" s="23" t="s">
        <v>24</v>
      </c>
      <c r="Q9" s="23" t="s">
        <v>41</v>
      </c>
    </row>
    <row r="10" spans="1:17" x14ac:dyDescent="0.25">
      <c r="A10" s="14"/>
      <c r="B10" s="1"/>
      <c r="C10" s="1"/>
      <c r="E10" s="1"/>
      <c r="F10" s="1"/>
      <c r="G10" s="1"/>
      <c r="H10" s="1"/>
      <c r="I10" s="1"/>
      <c r="K10" s="1"/>
      <c r="L10" s="1"/>
      <c r="P10" s="23" t="s">
        <v>26</v>
      </c>
      <c r="Q10" s="23" t="s">
        <v>40</v>
      </c>
    </row>
    <row r="11" spans="1:17" x14ac:dyDescent="0.25">
      <c r="A11" s="40" t="s">
        <v>10</v>
      </c>
      <c r="B11" s="42"/>
      <c r="C11" s="41"/>
      <c r="D11" s="1"/>
      <c r="E11" s="40" t="s">
        <v>12</v>
      </c>
      <c r="F11" s="42"/>
      <c r="G11" s="42"/>
      <c r="H11" s="42"/>
      <c r="I11" s="41"/>
      <c r="K11" s="40" t="s">
        <v>9</v>
      </c>
      <c r="L11" s="41"/>
      <c r="P11" s="23" t="s">
        <v>27</v>
      </c>
      <c r="Q11" s="23" t="s">
        <v>47</v>
      </c>
    </row>
    <row r="12" spans="1:17" x14ac:dyDescent="0.25">
      <c r="A12" s="2"/>
      <c r="B12" s="2"/>
      <c r="C12" s="1"/>
      <c r="D12" s="1"/>
      <c r="E12" s="1"/>
      <c r="F12" s="1"/>
      <c r="G12" s="1"/>
      <c r="H12" s="1"/>
      <c r="I12" s="1"/>
      <c r="K12" s="1"/>
      <c r="L12" s="1"/>
      <c r="P12" s="23" t="s">
        <v>28</v>
      </c>
      <c r="Q12" s="23" t="s">
        <v>43</v>
      </c>
    </row>
    <row r="13" spans="1:17" x14ac:dyDescent="0.25">
      <c r="A13" s="46" t="s">
        <v>42</v>
      </c>
      <c r="B13" s="47"/>
      <c r="C13" s="6">
        <v>20000</v>
      </c>
      <c r="D13" s="1"/>
      <c r="E13" s="3" t="s">
        <v>3</v>
      </c>
      <c r="F13" s="33">
        <v>0</v>
      </c>
      <c r="G13" s="33"/>
      <c r="H13" s="31">
        <f>IF(F13&gt;2,C13/30*F13/3,0)</f>
        <v>0</v>
      </c>
      <c r="I13" s="32"/>
      <c r="K13" s="5" t="s">
        <v>9</v>
      </c>
      <c r="L13" s="4">
        <v>0</v>
      </c>
      <c r="P13" s="23" t="s">
        <v>30</v>
      </c>
      <c r="Q13" s="23" t="s">
        <v>44</v>
      </c>
    </row>
    <row r="14" spans="1:17" x14ac:dyDescent="0.25">
      <c r="D14" s="1"/>
      <c r="E14" s="3" t="s">
        <v>7</v>
      </c>
      <c r="F14" s="33">
        <v>0</v>
      </c>
      <c r="G14" s="33"/>
      <c r="H14" s="31">
        <f>C13/30*F14/2</f>
        <v>0</v>
      </c>
      <c r="I14" s="32"/>
      <c r="K14" s="5" t="s">
        <v>2</v>
      </c>
      <c r="L14" s="8">
        <v>0</v>
      </c>
      <c r="P14" s="23" t="s">
        <v>29</v>
      </c>
      <c r="Q14" s="23" t="s">
        <v>45</v>
      </c>
    </row>
    <row r="15" spans="1:17" ht="15" customHeight="1" x14ac:dyDescent="0.25">
      <c r="A15" s="46" t="s">
        <v>38</v>
      </c>
      <c r="B15" s="47"/>
      <c r="C15" s="6">
        <f>IF(AND(F13&lt;3,F15&lt;1),1000,0)</f>
        <v>1000</v>
      </c>
      <c r="D15" s="1"/>
      <c r="E15" s="3" t="s">
        <v>4</v>
      </c>
      <c r="F15" s="33">
        <v>0</v>
      </c>
      <c r="G15" s="33"/>
      <c r="H15" s="31">
        <f>C13/30*F15</f>
        <v>0</v>
      </c>
      <c r="I15" s="32"/>
      <c r="K15" s="5" t="s">
        <v>6</v>
      </c>
      <c r="L15" s="4">
        <f>L13-L14</f>
        <v>0</v>
      </c>
      <c r="Q15" s="23"/>
    </row>
    <row r="16" spans="1:17" x14ac:dyDescent="0.25">
      <c r="A16" s="46" t="s">
        <v>39</v>
      </c>
      <c r="B16" s="47"/>
      <c r="C16" s="6">
        <f>IF(AND(F14&lt;3,F15&lt;1),1000,0)</f>
        <v>1000</v>
      </c>
      <c r="D16" s="9"/>
      <c r="N16" s="6" t="e">
        <f>IF(#REF!&lt;3,1000,0)</f>
        <v>#REF!</v>
      </c>
    </row>
    <row r="17" spans="1:17" x14ac:dyDescent="0.25">
      <c r="D17" s="13"/>
      <c r="K17" s="10" t="s">
        <v>8</v>
      </c>
      <c r="L17" s="12">
        <v>1900</v>
      </c>
    </row>
    <row r="18" spans="1:17" x14ac:dyDescent="0.25">
      <c r="A18" s="11" t="s">
        <v>11</v>
      </c>
      <c r="B18" s="22">
        <v>0</v>
      </c>
      <c r="C18" s="6">
        <f>IF(C13&lt;=18000,150*B18,250*B18)</f>
        <v>0</v>
      </c>
      <c r="D18" s="13"/>
      <c r="E18" s="34" t="s">
        <v>37</v>
      </c>
      <c r="F18" s="34"/>
      <c r="G18" s="34"/>
      <c r="H18" s="33">
        <f>IF(F15&gt;=1,1000,0)</f>
        <v>0</v>
      </c>
      <c r="I18" s="33"/>
      <c r="K18" s="10" t="s">
        <v>49</v>
      </c>
      <c r="L18" s="24">
        <v>200</v>
      </c>
      <c r="Q18" s="23"/>
    </row>
    <row r="19" spans="1:17" x14ac:dyDescent="0.25">
      <c r="A19" s="1"/>
      <c r="B19" s="1"/>
      <c r="C19" s="1"/>
      <c r="D19" s="1"/>
      <c r="E19" s="1"/>
      <c r="F19" s="1"/>
      <c r="G19" s="1"/>
    </row>
    <row r="20" spans="1:17" x14ac:dyDescent="0.25">
      <c r="A20" s="43" t="s">
        <v>1</v>
      </c>
      <c r="B20" s="44"/>
      <c r="C20" s="6">
        <f>SUM(C13:C18)</f>
        <v>22000</v>
      </c>
      <c r="D20" s="1"/>
      <c r="E20" s="43" t="s">
        <v>2</v>
      </c>
      <c r="F20" s="44"/>
      <c r="G20" s="45">
        <f>SUM(H13:I18)</f>
        <v>0</v>
      </c>
      <c r="H20" s="33"/>
      <c r="I20" s="33"/>
      <c r="K20" s="7" t="s">
        <v>2</v>
      </c>
      <c r="L20" s="4">
        <f>(L17+L14+L18)</f>
        <v>2100</v>
      </c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K21" s="1"/>
      <c r="L21" s="1"/>
    </row>
    <row r="22" spans="1:17" ht="19.5" x14ac:dyDescent="0.25">
      <c r="A22" s="38" t="s">
        <v>0</v>
      </c>
      <c r="B22" s="39"/>
      <c r="C22" s="39"/>
      <c r="D22" s="39"/>
      <c r="E22" s="39"/>
      <c r="F22" s="39"/>
      <c r="G22" s="39"/>
      <c r="H22" s="39"/>
      <c r="I22" s="36">
        <f>C20-G20-L20</f>
        <v>19900</v>
      </c>
      <c r="J22" s="36"/>
      <c r="K22" s="36"/>
      <c r="L22" s="37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 t="s">
        <v>5</v>
      </c>
    </row>
    <row r="41" spans="1:12" x14ac:dyDescent="0.25">
      <c r="A41" s="25" t="s">
        <v>46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</row>
    <row r="42" spans="1:12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50" spans="1:2" x14ac:dyDescent="0.25">
      <c r="A50" s="18"/>
      <c r="B50" s="18"/>
    </row>
  </sheetData>
  <mergeCells count="27">
    <mergeCell ref="A2:L3"/>
    <mergeCell ref="I22:L22"/>
    <mergeCell ref="A22:H22"/>
    <mergeCell ref="K11:L11"/>
    <mergeCell ref="A11:C11"/>
    <mergeCell ref="E20:F20"/>
    <mergeCell ref="G20:I20"/>
    <mergeCell ref="A15:B15"/>
    <mergeCell ref="A13:B13"/>
    <mergeCell ref="A20:B20"/>
    <mergeCell ref="E11:I11"/>
    <mergeCell ref="H13:I13"/>
    <mergeCell ref="A16:B16"/>
    <mergeCell ref="A41:L42"/>
    <mergeCell ref="K6:L6"/>
    <mergeCell ref="H6:J6"/>
    <mergeCell ref="H8:J8"/>
    <mergeCell ref="K8:L8"/>
    <mergeCell ref="B6:F6"/>
    <mergeCell ref="B8:F8"/>
    <mergeCell ref="H14:I14"/>
    <mergeCell ref="H15:I15"/>
    <mergeCell ref="F13:G13"/>
    <mergeCell ref="F14:G14"/>
    <mergeCell ref="F15:G15"/>
    <mergeCell ref="E18:G18"/>
    <mergeCell ref="H18:I18"/>
  </mergeCells>
  <dataValidations count="4">
    <dataValidation type="list" allowBlank="1" showInputMessage="1" showErrorMessage="1" sqref="K9:L9" xr:uid="{00000000-0002-0000-0000-000000000000}">
      <formula1>$O$5:$O$7</formula1>
    </dataValidation>
    <dataValidation type="list" allowBlank="1" showInputMessage="1" showErrorMessage="1" sqref="B8:F9" xr:uid="{00000000-0002-0000-0000-000001000000}">
      <formula1>$P$5:$P$14</formula1>
    </dataValidation>
    <dataValidation type="list" allowBlank="1" showInputMessage="1" showErrorMessage="1" sqref="K8:L8" xr:uid="{00000000-0002-0000-0000-000002000000}">
      <formula1>$O$5:$O$8</formula1>
    </dataValidation>
    <dataValidation type="list" allowBlank="1" showInputMessage="1" showErrorMessage="1" sqref="B6:F7" xr:uid="{00000000-0002-0000-0000-000003000000}">
      <formula1>$Q$5:$Q$14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2026-09-30T17:14:21Z</dcterms:modified>
</cp:coreProperties>
</file>