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fileSharing userName="123" reservationPassword="93C6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SOFTECH Mobile Repair Sevice\Employees\"/>
    </mc:Choice>
  </mc:AlternateContent>
  <bookViews>
    <workbookView xWindow="-120" yWindow="-120" windowWidth="19440" windowHeight="11640"/>
  </bookViews>
  <sheets>
    <sheet name="HRM (Overview)" sheetId="1" r:id="rId1"/>
    <sheet name="Data Sheet" sheetId="4" r:id="rId2"/>
    <sheet name="Formulas" sheetId="3" r:id="rId3"/>
  </sheets>
  <definedNames>
    <definedName name="_xlnm._FilterDatabase" localSheetId="1" hidden="1">'Data Sheet'!$B$25:$C$40</definedName>
    <definedName name="_xlnm._FilterDatabase" localSheetId="0" hidden="1">'HRM (Overview)'!$A$4:$M$4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4" l="1"/>
  <c r="C34" i="4"/>
  <c r="C33" i="4"/>
  <c r="C32" i="4"/>
  <c r="C31" i="4"/>
  <c r="C30" i="4"/>
  <c r="G10" i="1" l="1"/>
  <c r="H12" i="1" l="1"/>
  <c r="H11" i="1"/>
  <c r="H10" i="1"/>
  <c r="H9" i="1"/>
  <c r="G12" i="1"/>
  <c r="G11" i="1"/>
  <c r="G8" i="1"/>
  <c r="H5" i="1" l="1"/>
  <c r="G5" i="1"/>
  <c r="G6" i="1" l="1"/>
  <c r="C26" i="4" l="1"/>
  <c r="C27" i="4" l="1"/>
  <c r="Q40" i="4"/>
  <c r="G40" i="4"/>
  <c r="Q39" i="4"/>
  <c r="M39" i="4"/>
  <c r="J39" i="4"/>
  <c r="G39" i="4"/>
  <c r="E39" i="4"/>
  <c r="Z38" i="4"/>
  <c r="U38" i="4"/>
  <c r="Q38" i="4"/>
  <c r="M38" i="4"/>
  <c r="J38" i="4"/>
  <c r="G38" i="4"/>
  <c r="E38" i="4"/>
  <c r="Z37" i="4"/>
  <c r="U37" i="4"/>
  <c r="Q37" i="4"/>
  <c r="M37" i="4"/>
  <c r="J37" i="4"/>
  <c r="G37" i="4"/>
  <c r="E37" i="4"/>
  <c r="Z36" i="4"/>
  <c r="U36" i="4"/>
  <c r="Q36" i="4"/>
  <c r="M36" i="4"/>
  <c r="J36" i="4"/>
  <c r="G36" i="4"/>
  <c r="E36" i="4"/>
  <c r="Z35" i="4"/>
  <c r="U35" i="4"/>
  <c r="Q35" i="4"/>
  <c r="M35" i="4"/>
  <c r="J35" i="4"/>
  <c r="G35" i="4"/>
  <c r="E35" i="4"/>
  <c r="Z34" i="4"/>
  <c r="U34" i="4"/>
  <c r="Q34" i="4"/>
  <c r="M34" i="4"/>
  <c r="J34" i="4"/>
  <c r="G34" i="4"/>
  <c r="E34" i="4"/>
  <c r="Z33" i="4"/>
  <c r="U33" i="4"/>
  <c r="Q33" i="4"/>
  <c r="M33" i="4"/>
  <c r="J33" i="4"/>
  <c r="G33" i="4"/>
  <c r="E33" i="4"/>
  <c r="Z32" i="4"/>
  <c r="U32" i="4"/>
  <c r="Q32" i="4"/>
  <c r="M32" i="4"/>
  <c r="J32" i="4"/>
  <c r="G32" i="4"/>
  <c r="E32" i="4"/>
  <c r="Z31" i="4"/>
  <c r="U31" i="4"/>
  <c r="Q31" i="4"/>
  <c r="M31" i="4"/>
  <c r="J31" i="4"/>
  <c r="G31" i="4"/>
  <c r="E31" i="4"/>
  <c r="Z30" i="4"/>
  <c r="U30" i="4"/>
  <c r="Q30" i="4"/>
  <c r="M30" i="4"/>
  <c r="J30" i="4"/>
  <c r="G30" i="4"/>
  <c r="E30" i="4"/>
  <c r="Z29" i="4"/>
  <c r="U29" i="4"/>
  <c r="Q29" i="4"/>
  <c r="M29" i="4"/>
  <c r="J29" i="4"/>
  <c r="G29" i="4"/>
  <c r="E29" i="4"/>
  <c r="Z28" i="4"/>
  <c r="U28" i="4"/>
  <c r="Q28" i="4"/>
  <c r="M28" i="4"/>
  <c r="J28" i="4"/>
  <c r="G28" i="4"/>
  <c r="E28" i="4"/>
  <c r="Z27" i="4"/>
  <c r="U27" i="4"/>
  <c r="Q27" i="4"/>
  <c r="M27" i="4"/>
  <c r="J27" i="4"/>
  <c r="G27" i="4"/>
  <c r="E27" i="4"/>
  <c r="Z26" i="4"/>
  <c r="U26" i="4"/>
  <c r="Q26" i="4"/>
  <c r="M26" i="4"/>
  <c r="J26" i="4"/>
  <c r="G26" i="4"/>
  <c r="E26" i="4"/>
  <c r="C38" i="4"/>
  <c r="B38" i="4"/>
  <c r="C37" i="4"/>
  <c r="B37" i="4"/>
  <c r="C36" i="4"/>
  <c r="B36" i="4"/>
  <c r="B35" i="4"/>
  <c r="B34" i="4"/>
  <c r="B33" i="4"/>
  <c r="B32" i="4"/>
  <c r="B31" i="4"/>
  <c r="B30" i="4"/>
  <c r="C29" i="4"/>
  <c r="C28" i="4"/>
  <c r="G14" i="1" l="1"/>
  <c r="H14" i="1" l="1"/>
  <c r="C40" i="4" l="1"/>
  <c r="B6" i="4" l="1"/>
  <c r="E8" i="4" s="1"/>
  <c r="E7" i="4" l="1"/>
  <c r="C6" i="4"/>
  <c r="Z40" i="4"/>
  <c r="U40" i="4"/>
  <c r="M40" i="4"/>
  <c r="J40" i="4"/>
  <c r="E40" i="4"/>
  <c r="B40" i="4"/>
  <c r="Z39" i="4"/>
  <c r="U39" i="4"/>
  <c r="C39" i="4"/>
  <c r="B39" i="4"/>
  <c r="B29" i="4"/>
  <c r="B28" i="4"/>
  <c r="B27" i="4"/>
  <c r="B26" i="4"/>
  <c r="C25" i="4"/>
  <c r="B25" i="4"/>
  <c r="E4" i="4"/>
  <c r="H13" i="1"/>
  <c r="G13" i="1"/>
  <c r="G9" i="1"/>
  <c r="H8" i="1"/>
  <c r="H7" i="1"/>
  <c r="G7" i="1"/>
  <c r="F8" i="4" l="1"/>
  <c r="G8" i="4" s="1"/>
  <c r="F7" i="4" l="1"/>
  <c r="H8" i="4"/>
  <c r="G7" i="4"/>
  <c r="H7" i="4" l="1"/>
  <c r="I8" i="4"/>
  <c r="J8" i="4" l="1"/>
  <c r="I7" i="4"/>
  <c r="K8" i="4" l="1"/>
  <c r="J7" i="4"/>
  <c r="K7" i="4" l="1"/>
  <c r="L8" i="4"/>
  <c r="L7" i="4" l="1"/>
  <c r="M8" i="4"/>
  <c r="N8" i="4" l="1"/>
  <c r="M7" i="4"/>
  <c r="O8" i="4" l="1"/>
  <c r="N7" i="4"/>
  <c r="O7" i="4" l="1"/>
  <c r="P8" i="4"/>
  <c r="P7" i="4" l="1"/>
  <c r="Q8" i="4"/>
  <c r="R8" i="4" l="1"/>
  <c r="Q7" i="4"/>
  <c r="S8" i="4" l="1"/>
  <c r="R7" i="4"/>
  <c r="S7" i="4" l="1"/>
  <c r="T8" i="4"/>
  <c r="T7" i="4" l="1"/>
  <c r="U8" i="4"/>
  <c r="V8" i="4" l="1"/>
  <c r="U7" i="4"/>
  <c r="W8" i="4" l="1"/>
  <c r="V7" i="4"/>
  <c r="W7" i="4" l="1"/>
  <c r="X8" i="4"/>
  <c r="X7" i="4" l="1"/>
  <c r="Y8" i="4"/>
  <c r="Z8" i="4" l="1"/>
  <c r="Y7" i="4"/>
  <c r="AA8" i="4" l="1"/>
  <c r="Z7" i="4"/>
  <c r="AA7" i="4" l="1"/>
  <c r="AB8" i="4"/>
  <c r="AB7" i="4" l="1"/>
  <c r="AC8" i="4"/>
  <c r="AD8" i="4" l="1"/>
  <c r="AC7" i="4"/>
  <c r="AE8" i="4" l="1"/>
  <c r="AD7" i="4"/>
  <c r="AE7" i="4" l="1"/>
  <c r="AF8" i="4"/>
  <c r="AF7" i="4" l="1"/>
  <c r="AG8" i="4"/>
  <c r="AH8" i="4" l="1"/>
  <c r="AG7" i="4"/>
  <c r="AI8" i="4" l="1"/>
  <c r="AH7" i="4"/>
  <c r="AI7" i="4" l="1"/>
  <c r="AJ8" i="4"/>
</calcChain>
</file>

<file path=xl/sharedStrings.xml><?xml version="1.0" encoding="utf-8"?>
<sst xmlns="http://schemas.openxmlformats.org/spreadsheetml/2006/main" count="416" uniqueCount="106">
  <si>
    <t>Employee Data</t>
  </si>
  <si>
    <t>10 Minutes</t>
  </si>
  <si>
    <t>01 Hour</t>
  </si>
  <si>
    <t>O.T</t>
  </si>
  <si>
    <t>Mobile</t>
  </si>
  <si>
    <t>EMP ID</t>
  </si>
  <si>
    <t>Department</t>
  </si>
  <si>
    <t>Name</t>
  </si>
  <si>
    <t>Time</t>
  </si>
  <si>
    <t>Half day</t>
  </si>
  <si>
    <t>Half Day (Medical)</t>
  </si>
  <si>
    <t>Late Marks After</t>
  </si>
  <si>
    <t>Last To Enter in Lab</t>
  </si>
  <si>
    <t>Amount</t>
  </si>
  <si>
    <t>EMP02</t>
  </si>
  <si>
    <t>Software</t>
  </si>
  <si>
    <t>Shahzaib Ali</t>
  </si>
  <si>
    <t>Sheikh Muhammad Afnan</t>
  </si>
  <si>
    <t>-</t>
  </si>
  <si>
    <t>Hardware</t>
  </si>
  <si>
    <t>Malik Nisar Ahmed</t>
  </si>
  <si>
    <t>L</t>
  </si>
  <si>
    <t>D</t>
  </si>
  <si>
    <t>H</t>
  </si>
  <si>
    <t>O</t>
  </si>
  <si>
    <t>P</t>
  </si>
  <si>
    <t>DA</t>
  </si>
  <si>
    <t>HA</t>
  </si>
  <si>
    <t>Month</t>
  </si>
  <si>
    <t>July</t>
  </si>
  <si>
    <t>Year</t>
  </si>
  <si>
    <t>Emp.ID</t>
  </si>
  <si>
    <t>Emp.Name</t>
  </si>
  <si>
    <t>Late</t>
  </si>
  <si>
    <t>0.5 Day</t>
  </si>
  <si>
    <t>Holiday</t>
  </si>
  <si>
    <t>Over Time</t>
  </si>
  <si>
    <t>On Time</t>
  </si>
  <si>
    <t>0.5 day (Allow)</t>
  </si>
  <si>
    <t>Holiday (Allow)</t>
  </si>
  <si>
    <t>Overtime</t>
  </si>
  <si>
    <t>`</t>
  </si>
  <si>
    <t>Shift I</t>
  </si>
  <si>
    <t>January</t>
  </si>
  <si>
    <t>Half Day Starts</t>
  </si>
  <si>
    <t>February</t>
  </si>
  <si>
    <t>Last To Enter</t>
  </si>
  <si>
    <t>March</t>
  </si>
  <si>
    <t>April</t>
  </si>
  <si>
    <t>Shift II</t>
  </si>
  <si>
    <t>May</t>
  </si>
  <si>
    <t>June</t>
  </si>
  <si>
    <t>August</t>
  </si>
  <si>
    <t>September</t>
  </si>
  <si>
    <t>October</t>
  </si>
  <si>
    <t>November</t>
  </si>
  <si>
    <t>December</t>
  </si>
  <si>
    <t>EMP03</t>
  </si>
  <si>
    <t>EMP06</t>
  </si>
  <si>
    <t xml:space="preserve">Realme 9 </t>
  </si>
  <si>
    <t>Upto ID</t>
  </si>
  <si>
    <t>Emp ID</t>
  </si>
  <si>
    <t>Imei 01 | 02-P2</t>
  </si>
  <si>
    <t>Imei 01 | 02-P1</t>
  </si>
  <si>
    <t>Phone - 1</t>
  </si>
  <si>
    <t>Phone - 2</t>
  </si>
  <si>
    <t>861284060158159 | 861284060158142</t>
  </si>
  <si>
    <t>Limit</t>
  </si>
  <si>
    <t>EMP10</t>
  </si>
  <si>
    <t>Jahanzaib Nassar</t>
  </si>
  <si>
    <t>EMP40</t>
  </si>
  <si>
    <t>W.O | Sales</t>
  </si>
  <si>
    <t>EMP01</t>
  </si>
  <si>
    <t>Sheikh Muhmmad Usman</t>
  </si>
  <si>
    <t>Sheikh Muhammad Usman</t>
  </si>
  <si>
    <t>EMP41</t>
  </si>
  <si>
    <t>Husnain Nasrullah</t>
  </si>
  <si>
    <t>EMP35</t>
  </si>
  <si>
    <t>Awais Abbasi</t>
  </si>
  <si>
    <t>EMP25</t>
  </si>
  <si>
    <t>Ali Hammad</t>
  </si>
  <si>
    <t>EMP09</t>
  </si>
  <si>
    <t>Muhammad Asif</t>
  </si>
  <si>
    <t>Wasey Zai</t>
  </si>
  <si>
    <t>IPHONE XR</t>
  </si>
  <si>
    <t>354065529798758 | 354065529217601</t>
  </si>
  <si>
    <t>iPhone 11</t>
  </si>
  <si>
    <t>353987107163603 | 353987105413885</t>
  </si>
  <si>
    <t>Moto G Pure Edition</t>
  </si>
  <si>
    <t>864772053841473 | 864772053841465</t>
  </si>
  <si>
    <t>866376057337740 | 866376057337757</t>
  </si>
  <si>
    <t>355911754500824  | 355911754500832</t>
  </si>
  <si>
    <t>Moto E7 Plus</t>
  </si>
  <si>
    <t>Oppo A16</t>
  </si>
  <si>
    <t>Samsung A06</t>
  </si>
  <si>
    <t>350234454267387 | 350234454267385</t>
  </si>
  <si>
    <t>Itel A48</t>
  </si>
  <si>
    <t>Redmi 14c</t>
  </si>
  <si>
    <t>869071078356269 | 869071078356277</t>
  </si>
  <si>
    <t>IPhone X</t>
  </si>
  <si>
    <t>EMP44</t>
  </si>
  <si>
    <t xml:space="preserve"> EMP43</t>
  </si>
  <si>
    <t>EMP43</t>
  </si>
  <si>
    <t>Samsung a10s</t>
  </si>
  <si>
    <t>353418118785846 | 353419118785844</t>
  </si>
  <si>
    <t>SOFTECH Mobile (Sale &amp; Service)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</si>
</sst>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"/>
    <numFmt numFmtId="165" formatCode="[$-409]d\-mmm\-yy;@"/>
    <numFmt numFmtId="166" formatCode="dd"/>
    <numFmt numFmtId="167" formatCode="hh:mm\ AM/PM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charset val="134"/>
      <scheme val="minor"/>
    </font>
    <font>
      <b/>
      <sz val="20"/>
      <color theme="0"/>
      <name val="Bahnschrift SemiBold SemiConden"/>
      <charset val="134"/>
    </font>
    <font>
      <b/>
      <sz val="18"/>
      <color rgb="FF00B05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0"/>
      <name val="Bahnschrift SemiBold SemiConden"/>
      <charset val="134"/>
    </font>
    <font>
      <b/>
      <sz val="12"/>
      <color theme="1"/>
      <name val="Bahnschrift SemiBold SemiConden"/>
      <charset val="134"/>
    </font>
    <font>
      <b/>
      <sz val="11"/>
      <color rgb="FFFF0000"/>
      <name val="Calibri"/>
      <charset val="134"/>
      <scheme val="minor"/>
    </font>
    <font>
      <sz val="18"/>
      <color theme="1"/>
      <name val="Bahnschrift SemiCondensed"/>
      <charset val="134"/>
    </font>
    <font>
      <b/>
      <sz val="11"/>
      <color theme="1"/>
      <name val="Bahnschrift SemiBold SemiConden"/>
      <charset val="134"/>
    </font>
    <font>
      <b/>
      <sz val="20"/>
      <color theme="1"/>
      <name val="Bahnschrift SemiBold SemiConden"/>
      <charset val="134"/>
    </font>
    <font>
      <b/>
      <sz val="10"/>
      <color theme="1"/>
      <name val="Bahnschrift SemiBold SemiConden"/>
      <charset val="134"/>
    </font>
    <font>
      <b/>
      <sz val="14"/>
      <color theme="1"/>
      <name val="Bahnschrift SemiBold SemiConden"/>
      <charset val="134"/>
    </font>
    <font>
      <b/>
      <sz val="16"/>
      <color theme="1"/>
      <name val="Bahnschrift SemiBold SemiConden"/>
      <family val="2"/>
    </font>
    <font>
      <b/>
      <sz val="12"/>
      <color theme="1"/>
      <name val="Bahnschrift SemiBold SemiConden"/>
      <family val="2"/>
    </font>
    <font>
      <b/>
      <sz val="20"/>
      <color theme="1"/>
      <name val="Bahnschrift SemiBold SemiConden"/>
      <family val="2"/>
    </font>
    <font>
      <b/>
      <sz val="11"/>
      <color theme="1"/>
      <name val="Calibri"/>
      <family val="2"/>
      <scheme val="minor"/>
    </font>
    <font>
      <sz val="8"/>
      <color theme="1"/>
      <name val="Bahnschrift Condensed"/>
      <family val="2"/>
    </font>
    <font>
      <b/>
      <sz val="14"/>
      <color theme="0"/>
      <name val="Bahnschrift SemiBold SemiConden"/>
      <family val="2"/>
    </font>
    <font>
      <b/>
      <sz val="12"/>
      <color theme="0"/>
      <name val="Bahnschrift SemiBold SemiConden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 tint="-0.49998474074526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20" fontId="0" fillId="0" borderId="1" xfId="0" applyNumberFormat="1" applyBorder="1"/>
    <xf numFmtId="20" fontId="0" fillId="0" borderId="0" xfId="0" applyNumberFormat="1"/>
    <xf numFmtId="0" fontId="0" fillId="0" borderId="0" xfId="0" applyAlignment="1">
      <alignment horizontal="left"/>
    </xf>
    <xf numFmtId="0" fontId="4" fillId="4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textRotation="90"/>
    </xf>
    <xf numFmtId="166" fontId="0" fillId="0" borderId="0" xfId="0" applyNumberFormat="1"/>
    <xf numFmtId="0" fontId="5" fillId="5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6" fillId="3" borderId="6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20" fontId="11" fillId="4" borderId="8" xfId="0" applyNumberFormat="1" applyFont="1" applyFill="1" applyBorder="1" applyAlignment="1">
      <alignment horizontal="center" vertical="center"/>
    </xf>
    <xf numFmtId="20" fontId="11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" fontId="5" fillId="0" borderId="0" xfId="0" applyNumberFormat="1" applyFont="1" applyAlignment="1">
      <alignment horizontal="center" vertical="center"/>
    </xf>
    <xf numFmtId="20" fontId="14" fillId="4" borderId="8" xfId="0" applyNumberFormat="1" applyFont="1" applyFill="1" applyBorder="1" applyAlignment="1">
      <alignment horizontal="center" vertical="center"/>
    </xf>
    <xf numFmtId="20" fontId="15" fillId="4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66" fontId="18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" fontId="17" fillId="0" borderId="10" xfId="0" applyNumberFormat="1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12" fillId="4" borderId="12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167" fontId="19" fillId="2" borderId="17" xfId="0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7" fontId="13" fillId="0" borderId="17" xfId="0" applyNumberFormat="1" applyFont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167" fontId="13" fillId="0" borderId="21" xfId="0" applyNumberFormat="1" applyFont="1" applyBorder="1" applyAlignment="1">
      <alignment horizontal="center" vertical="center"/>
    </xf>
    <xf numFmtId="167" fontId="13" fillId="0" borderId="16" xfId="0" applyNumberFormat="1" applyFont="1" applyBorder="1" applyAlignment="1">
      <alignment horizontal="center" vertical="center"/>
    </xf>
    <xf numFmtId="167" fontId="13" fillId="0" borderId="2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20" fontId="16" fillId="4" borderId="1" xfId="0" applyNumberFormat="1" applyFont="1" applyFill="1" applyBorder="1" applyAlignment="1">
      <alignment horizontal="center" vertical="center"/>
    </xf>
    <xf numFmtId="20" fontId="11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textRotation="90"/>
    </xf>
    <xf numFmtId="164" fontId="5" fillId="6" borderId="2" xfId="0" applyNumberFormat="1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center" vertical="center"/>
    </xf>
    <xf numFmtId="164" fontId="5" fillId="6" borderId="12" xfId="0" applyNumberFormat="1" applyFont="1" applyFill="1" applyBorder="1" applyAlignment="1">
      <alignment horizontal="center" vertical="center"/>
    </xf>
    <xf numFmtId="164" fontId="5" fillId="6" borderId="4" xfId="0" applyNumberFormat="1" applyFont="1" applyFill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/>
    </xf>
    <xf numFmtId="164" fontId="5" fillId="6" borderId="13" xfId="0" applyNumberFormat="1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textRotation="90"/>
    </xf>
    <xf numFmtId="0" fontId="9" fillId="0" borderId="11" xfId="0" applyFont="1" applyBorder="1" applyAlignment="1">
      <alignment horizontal="center" vertical="center" textRotation="90"/>
    </xf>
    <xf numFmtId="0" fontId="9" fillId="0" borderId="7" xfId="0" applyFont="1" applyBorder="1" applyAlignment="1">
      <alignment horizontal="center" vertical="center" textRotation="90"/>
    </xf>
    <xf numFmtId="0" fontId="2" fillId="3" borderId="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0">
    <dxf>
      <fill>
        <patternFill patternType="solid">
          <bgColor theme="9" tint="0.39991454817346722"/>
        </patternFill>
      </fill>
      <border>
        <left/>
        <right/>
        <top/>
        <bottom/>
      </border>
    </dxf>
    <dxf>
      <font>
        <b/>
        <i val="0"/>
        <color rgb="FFFF0000"/>
      </font>
      <fill>
        <patternFill patternType="none"/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6" tint="0.39991454817346722"/>
        </patternFill>
      </fill>
    </dxf>
    <dxf>
      <font>
        <b/>
        <i val="0"/>
        <color theme="0"/>
      </font>
      <fill>
        <patternFill patternType="solid">
          <bgColor theme="6" tint="-0.499984740745262"/>
        </patternFill>
      </fill>
    </dxf>
    <dxf>
      <font>
        <b/>
        <i val="0"/>
        <color theme="0"/>
      </font>
      <fill>
        <patternFill patternType="solid">
          <bgColor theme="6" tint="-0.499984740745262"/>
        </patternFill>
      </fill>
    </dxf>
    <dxf>
      <font>
        <color theme="0"/>
      </font>
      <fill>
        <patternFill patternType="solid">
          <bgColor theme="9" tint="-0.49998474074526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strike val="0"/>
        <color theme="0"/>
      </font>
      <fill>
        <patternFill patternType="solid"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Medium9"/>
  <colors>
    <mruColors>
      <color rgb="FFFF0000"/>
      <color rgb="FFFF505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7"/>
  <sheetViews>
    <sheetView tabSelected="1" zoomScale="85" zoomScaleNormal="85" workbookViewId="0">
      <selection activeCell="D17" sqref="D17"/>
    </sheetView>
  </sheetViews>
  <sheetFormatPr defaultColWidth="9.140625" defaultRowHeight="15"/>
  <cols>
    <col min="1" max="1" width="7.42578125" style="13" customWidth="1"/>
    <col min="2" max="2" width="16.28515625" style="13" customWidth="1"/>
    <col min="3" max="3" width="24.7109375" style="13" customWidth="1"/>
    <col min="4" max="4" width="11" style="13" bestFit="1" customWidth="1"/>
    <col min="5" max="5" width="12.42578125" style="13" bestFit="1" customWidth="1"/>
    <col min="6" max="6" width="19.5703125" style="13" customWidth="1"/>
    <col min="7" max="7" width="19.7109375" style="13" customWidth="1"/>
    <col min="8" max="8" width="22.42578125" style="13" customWidth="1"/>
    <col min="9" max="9" width="8.140625" style="13" customWidth="1"/>
    <col min="10" max="10" width="17.5703125" style="13" customWidth="1"/>
    <col min="11" max="11" width="15.85546875" style="13" bestFit="1" customWidth="1"/>
    <col min="12" max="13" width="34.42578125" style="13" bestFit="1" customWidth="1"/>
    <col min="14" max="16384" width="9.140625" style="13"/>
  </cols>
  <sheetData>
    <row r="2" spans="1:13" ht="25.5">
      <c r="A2" s="23" t="s">
        <v>61</v>
      </c>
      <c r="B2" s="55" t="s">
        <v>0</v>
      </c>
      <c r="C2" s="55"/>
      <c r="D2" s="55"/>
      <c r="E2" s="22" t="s">
        <v>67</v>
      </c>
      <c r="F2" s="22" t="s">
        <v>67</v>
      </c>
      <c r="G2" s="16" t="s">
        <v>1</v>
      </c>
      <c r="H2" s="17" t="s">
        <v>2</v>
      </c>
      <c r="I2" s="17" t="s">
        <v>3</v>
      </c>
      <c r="J2" s="56" t="s">
        <v>4</v>
      </c>
      <c r="K2" s="56"/>
      <c r="L2" s="56"/>
      <c r="M2" s="56"/>
    </row>
    <row r="3" spans="1:13" ht="14.25" customHeight="1" thickBot="1"/>
    <row r="4" spans="1:13" s="15" customFormat="1" ht="27" customHeight="1">
      <c r="A4" s="18" t="s">
        <v>5</v>
      </c>
      <c r="B4" s="19" t="s">
        <v>6</v>
      </c>
      <c r="C4" s="34" t="s">
        <v>7</v>
      </c>
      <c r="D4" s="35" t="s">
        <v>8</v>
      </c>
      <c r="E4" s="37" t="s">
        <v>9</v>
      </c>
      <c r="F4" s="30" t="s">
        <v>10</v>
      </c>
      <c r="G4" s="34" t="s">
        <v>11</v>
      </c>
      <c r="H4" s="35" t="s">
        <v>12</v>
      </c>
      <c r="I4" s="31" t="s">
        <v>13</v>
      </c>
      <c r="J4" s="18" t="s">
        <v>64</v>
      </c>
      <c r="K4" s="18" t="s">
        <v>65</v>
      </c>
      <c r="L4" s="18" t="s">
        <v>63</v>
      </c>
      <c r="M4" s="18" t="s">
        <v>62</v>
      </c>
    </row>
    <row r="5" spans="1:13" ht="18">
      <c r="A5" s="27" t="s">
        <v>68</v>
      </c>
      <c r="B5" s="36" t="s">
        <v>71</v>
      </c>
      <c r="C5" s="40" t="s">
        <v>69</v>
      </c>
      <c r="D5" s="41">
        <v>0</v>
      </c>
      <c r="E5" s="38">
        <v>0</v>
      </c>
      <c r="F5" s="28">
        <v>0</v>
      </c>
      <c r="G5" s="50">
        <f>D5+Formulas!B4</f>
        <v>6.9444444444444397E-3</v>
      </c>
      <c r="H5" s="43">
        <f>D5+Formulas!B5</f>
        <v>4.1666666666666699E-2</v>
      </c>
      <c r="I5" s="29">
        <v>250</v>
      </c>
      <c r="J5" s="20" t="s">
        <v>93</v>
      </c>
      <c r="K5" s="8" t="s">
        <v>18</v>
      </c>
      <c r="L5" s="21" t="s">
        <v>89</v>
      </c>
      <c r="M5" s="21" t="s">
        <v>18</v>
      </c>
    </row>
    <row r="6" spans="1:13" ht="18">
      <c r="A6" s="27" t="s">
        <v>70</v>
      </c>
      <c r="B6" s="36" t="s">
        <v>71</v>
      </c>
      <c r="C6" s="42" t="s">
        <v>73</v>
      </c>
      <c r="D6" s="43">
        <v>0.66666666666666663</v>
      </c>
      <c r="E6" s="38">
        <v>1</v>
      </c>
      <c r="F6" s="28">
        <v>1</v>
      </c>
      <c r="G6" s="50">
        <f>D6+Formulas!B4</f>
        <v>0.67361111111111105</v>
      </c>
      <c r="H6" s="43">
        <v>0.6875</v>
      </c>
      <c r="I6" s="29">
        <v>250</v>
      </c>
      <c r="J6" s="24"/>
      <c r="K6" s="24" t="s">
        <v>18</v>
      </c>
      <c r="L6" s="25"/>
      <c r="M6" s="25" t="s">
        <v>18</v>
      </c>
    </row>
    <row r="7" spans="1:13" ht="18" customHeight="1">
      <c r="A7" s="27" t="s">
        <v>72</v>
      </c>
      <c r="B7" s="36" t="s">
        <v>15</v>
      </c>
      <c r="C7" s="44" t="s">
        <v>16</v>
      </c>
      <c r="D7" s="43">
        <v>0.5</v>
      </c>
      <c r="E7" s="39">
        <v>0</v>
      </c>
      <c r="F7" s="28">
        <v>1</v>
      </c>
      <c r="G7" s="50">
        <f>D7+Formulas!B4</f>
        <v>0.50694444444444442</v>
      </c>
      <c r="H7" s="43">
        <f>D7+Formulas!B5</f>
        <v>0.54166666666666674</v>
      </c>
      <c r="I7" s="29">
        <v>250</v>
      </c>
      <c r="J7" s="20" t="s">
        <v>86</v>
      </c>
      <c r="K7" s="8" t="s">
        <v>18</v>
      </c>
      <c r="L7" s="21" t="s">
        <v>87</v>
      </c>
      <c r="M7" s="21" t="s">
        <v>18</v>
      </c>
    </row>
    <row r="8" spans="1:13" ht="18">
      <c r="A8" s="27" t="s">
        <v>57</v>
      </c>
      <c r="B8" s="36" t="s">
        <v>15</v>
      </c>
      <c r="C8" s="45" t="s">
        <v>17</v>
      </c>
      <c r="D8" s="43">
        <v>0.5</v>
      </c>
      <c r="E8" s="38">
        <v>1</v>
      </c>
      <c r="F8" s="28">
        <v>1</v>
      </c>
      <c r="G8" s="50">
        <f>D8+Formulas!B4</f>
        <v>0.50694444444444442</v>
      </c>
      <c r="H8" s="43">
        <f>D8+Formulas!B5</f>
        <v>0.54166666666666674</v>
      </c>
      <c r="I8" s="29">
        <v>250</v>
      </c>
      <c r="J8" s="20" t="s">
        <v>59</v>
      </c>
      <c r="K8" s="8" t="s">
        <v>18</v>
      </c>
      <c r="L8" s="21" t="s">
        <v>66</v>
      </c>
      <c r="M8" s="21" t="s">
        <v>18</v>
      </c>
    </row>
    <row r="9" spans="1:13" ht="18">
      <c r="A9" s="27" t="s">
        <v>79</v>
      </c>
      <c r="B9" s="36" t="s">
        <v>15</v>
      </c>
      <c r="C9" s="46" t="s">
        <v>78</v>
      </c>
      <c r="D9" s="43">
        <v>0.5</v>
      </c>
      <c r="E9" s="38">
        <v>1</v>
      </c>
      <c r="F9" s="28">
        <v>0</v>
      </c>
      <c r="G9" s="50">
        <f>D9+Formulas!B4</f>
        <v>0.50694444444444442</v>
      </c>
      <c r="H9" s="43">
        <f>D9+Formulas!B5</f>
        <v>0.54166666666666674</v>
      </c>
      <c r="I9" s="33">
        <v>150</v>
      </c>
      <c r="J9" s="20" t="s">
        <v>97</v>
      </c>
      <c r="K9" s="8" t="s">
        <v>99</v>
      </c>
      <c r="L9" s="21" t="s">
        <v>98</v>
      </c>
      <c r="M9" s="21">
        <v>35672308322742</v>
      </c>
    </row>
    <row r="10" spans="1:13" ht="18">
      <c r="A10" s="52" t="s">
        <v>75</v>
      </c>
      <c r="B10" s="36" t="s">
        <v>15</v>
      </c>
      <c r="C10" s="46" t="s">
        <v>80</v>
      </c>
      <c r="D10" s="43">
        <v>0.5</v>
      </c>
      <c r="E10" s="38">
        <v>1</v>
      </c>
      <c r="F10" s="28">
        <v>1</v>
      </c>
      <c r="G10" s="50">
        <f>D10+Formulas!B4</f>
        <v>0.50694444444444442</v>
      </c>
      <c r="H10" s="43">
        <f>D10+Formulas!B5</f>
        <v>0.54166666666666674</v>
      </c>
      <c r="I10" s="33">
        <v>150</v>
      </c>
      <c r="J10" s="20" t="s">
        <v>92</v>
      </c>
      <c r="K10" s="8" t="s">
        <v>18</v>
      </c>
      <c r="L10" s="21" t="s">
        <v>90</v>
      </c>
      <c r="M10" s="21" t="s">
        <v>18</v>
      </c>
    </row>
    <row r="11" spans="1:13" ht="18">
      <c r="A11" s="27" t="s">
        <v>58</v>
      </c>
      <c r="B11" s="36" t="s">
        <v>19</v>
      </c>
      <c r="C11" s="40" t="s">
        <v>20</v>
      </c>
      <c r="D11" s="41">
        <v>0.47916666666666669</v>
      </c>
      <c r="E11" s="38">
        <v>0</v>
      </c>
      <c r="F11" s="28">
        <v>0</v>
      </c>
      <c r="G11" s="50">
        <f>D11+Formulas!B4</f>
        <v>0.4861111111111111</v>
      </c>
      <c r="H11" s="43">
        <f>D11+Formulas!B5</f>
        <v>0.52083333333333337</v>
      </c>
      <c r="I11" s="29">
        <v>250</v>
      </c>
      <c r="J11" s="20" t="s">
        <v>88</v>
      </c>
      <c r="K11" s="8" t="s">
        <v>18</v>
      </c>
      <c r="L11" s="21">
        <v>351875092331941</v>
      </c>
      <c r="M11" s="21" t="s">
        <v>18</v>
      </c>
    </row>
    <row r="12" spans="1:13" ht="18">
      <c r="A12" s="52" t="s">
        <v>81</v>
      </c>
      <c r="B12" s="36" t="s">
        <v>19</v>
      </c>
      <c r="C12" s="47" t="s">
        <v>82</v>
      </c>
      <c r="D12" s="43">
        <v>0.5</v>
      </c>
      <c r="E12" s="38">
        <v>0</v>
      </c>
      <c r="F12" s="28">
        <v>0</v>
      </c>
      <c r="G12" s="50">
        <f>D12+Formulas!B4</f>
        <v>0.50694444444444442</v>
      </c>
      <c r="H12" s="43">
        <f>D12+Formulas!B5</f>
        <v>0.54166666666666674</v>
      </c>
      <c r="I12" s="29">
        <v>250</v>
      </c>
      <c r="J12" s="20" t="s">
        <v>96</v>
      </c>
      <c r="K12" s="8" t="s">
        <v>18</v>
      </c>
      <c r="L12" s="21" t="s">
        <v>91</v>
      </c>
      <c r="M12" s="21" t="s">
        <v>18</v>
      </c>
    </row>
    <row r="13" spans="1:13" ht="18">
      <c r="A13" s="27" t="s">
        <v>101</v>
      </c>
      <c r="B13" s="36" t="s">
        <v>19</v>
      </c>
      <c r="C13" s="47" t="s">
        <v>83</v>
      </c>
      <c r="D13" s="43">
        <v>0.5</v>
      </c>
      <c r="E13" s="38">
        <v>0</v>
      </c>
      <c r="F13" s="28">
        <v>1</v>
      </c>
      <c r="G13" s="50">
        <f>D13+Formulas!B4</f>
        <v>0.50694444444444442</v>
      </c>
      <c r="H13" s="43">
        <f>D13+Formulas!B5</f>
        <v>0.54166666666666674</v>
      </c>
      <c r="I13" s="29">
        <v>250</v>
      </c>
      <c r="J13" s="53" t="s">
        <v>84</v>
      </c>
      <c r="K13" s="24" t="s">
        <v>103</v>
      </c>
      <c r="L13" s="25" t="s">
        <v>85</v>
      </c>
      <c r="M13" s="25" t="s">
        <v>104</v>
      </c>
    </row>
    <row r="14" spans="1:13" ht="18.75" thickBot="1">
      <c r="A14" s="32" t="s">
        <v>77</v>
      </c>
      <c r="B14" s="36" t="s">
        <v>19</v>
      </c>
      <c r="C14" s="48" t="s">
        <v>76</v>
      </c>
      <c r="D14" s="49">
        <v>0.5</v>
      </c>
      <c r="E14" s="38">
        <v>0</v>
      </c>
      <c r="F14" s="28">
        <v>1</v>
      </c>
      <c r="G14" s="51">
        <f>D14+Formulas!B4</f>
        <v>0.50694444444444442</v>
      </c>
      <c r="H14" s="49">
        <f>D14+Formulas!B5</f>
        <v>0.54166666666666674</v>
      </c>
      <c r="I14" s="33">
        <v>150</v>
      </c>
      <c r="J14" s="53" t="s">
        <v>94</v>
      </c>
      <c r="K14" s="24" t="s">
        <v>18</v>
      </c>
      <c r="L14" s="25" t="s">
        <v>95</v>
      </c>
      <c r="M14" s="25" t="s">
        <v>18</v>
      </c>
    </row>
    <row r="16" spans="1:13">
      <c r="A16" s="13" t="s">
        <v>60</v>
      </c>
    </row>
    <row r="17" spans="1:1">
      <c r="A17" s="54" t="s">
        <v>100</v>
      </c>
    </row>
  </sheetData>
  <autoFilter ref="A4:M4"/>
  <mergeCells count="2">
    <mergeCell ref="B2:D2"/>
    <mergeCell ref="J2:M2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B8294C8-1936-4B90-9607-C8975D624E07}">
            <xm:f>NOT(ISERROR(SEARCH(0,E5)))</xm:f>
            <xm:f>0</xm:f>
            <x14:dxf>
              <font>
                <strike val="0"/>
                <color theme="0"/>
              </font>
              <fill>
                <patternFill patternType="solid">
                  <bgColor rgb="FFFF0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</border>
            </x14:dxf>
          </x14:cfRule>
          <xm:sqref>E5:F14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41"/>
  <sheetViews>
    <sheetView showGridLines="0" topLeftCell="A10" zoomScale="70" zoomScaleNormal="70" workbookViewId="0">
      <selection activeCell="A24" sqref="A24:AE36"/>
    </sheetView>
  </sheetViews>
  <sheetFormatPr defaultColWidth="9" defaultRowHeight="15"/>
  <cols>
    <col min="1" max="1" width="1" customWidth="1"/>
    <col min="2" max="2" width="10.140625" customWidth="1"/>
    <col min="3" max="3" width="26" style="3" bestFit="1" customWidth="1"/>
    <col min="4" max="4" width="1.7109375" style="3" customWidth="1"/>
    <col min="5" max="5" width="3.42578125" customWidth="1"/>
    <col min="6" max="6" width="3.5703125" customWidth="1"/>
    <col min="7" max="7" width="3.42578125" customWidth="1"/>
    <col min="8" max="8" width="4.140625" customWidth="1"/>
    <col min="9" max="9" width="3.5703125" customWidth="1"/>
    <col min="10" max="10" width="3.42578125" customWidth="1"/>
    <col min="11" max="11" width="3.7109375" customWidth="1"/>
    <col min="12" max="14" width="3.5703125" customWidth="1"/>
    <col min="15" max="16" width="3.140625" customWidth="1"/>
    <col min="17" max="17" width="3.5703125" customWidth="1"/>
    <col min="18" max="18" width="3.140625" customWidth="1"/>
    <col min="19" max="19" width="3.5703125" customWidth="1"/>
    <col min="20" max="21" width="3" customWidth="1"/>
    <col min="22" max="22" width="3.140625" customWidth="1"/>
    <col min="23" max="23" width="3" customWidth="1"/>
    <col min="24" max="24" width="4" customWidth="1"/>
    <col min="25" max="25" width="3.140625" customWidth="1"/>
    <col min="26" max="26" width="4.140625" customWidth="1"/>
    <col min="27" max="28" width="3.42578125" customWidth="1"/>
    <col min="29" max="29" width="3.5703125" customWidth="1"/>
    <col min="30" max="30" width="3.42578125" customWidth="1"/>
    <col min="31" max="31" width="3.85546875" customWidth="1"/>
    <col min="32" max="32" width="3.42578125" customWidth="1"/>
    <col min="33" max="34" width="3.5703125" customWidth="1"/>
    <col min="35" max="35" width="3.42578125" customWidth="1"/>
    <col min="36" max="36" width="2" customWidth="1"/>
    <col min="37" max="37" width="5.42578125" style="3" customWidth="1"/>
    <col min="38" max="38" width="5.7109375" style="3" customWidth="1"/>
    <col min="39" max="43" width="5.42578125" style="3" customWidth="1"/>
    <col min="44" max="49" width="3.7109375" customWidth="1"/>
  </cols>
  <sheetData>
    <row r="2" spans="2:43" ht="25.5" customHeight="1">
      <c r="B2" s="91" t="s">
        <v>105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K2" s="73" t="s">
        <v>21</v>
      </c>
      <c r="AL2" s="76" t="s">
        <v>22</v>
      </c>
      <c r="AM2" s="82" t="s">
        <v>23</v>
      </c>
      <c r="AN2" s="85" t="s">
        <v>24</v>
      </c>
      <c r="AO2" s="88" t="s">
        <v>25</v>
      </c>
      <c r="AP2" s="63" t="s">
        <v>26</v>
      </c>
      <c r="AQ2" s="63" t="s">
        <v>27</v>
      </c>
    </row>
    <row r="3" spans="2:43" ht="13.5" customHeight="1">
      <c r="B3" s="4"/>
      <c r="C3" s="4"/>
      <c r="D3"/>
      <c r="AK3" s="74"/>
      <c r="AL3" s="77"/>
      <c r="AM3" s="83"/>
      <c r="AN3" s="86"/>
      <c r="AO3" s="89"/>
      <c r="AP3" s="64"/>
      <c r="AQ3" s="64"/>
    </row>
    <row r="4" spans="2:43">
      <c r="B4" s="5" t="s">
        <v>28</v>
      </c>
      <c r="C4" s="6" t="s">
        <v>53</v>
      </c>
      <c r="D4"/>
      <c r="E4" s="67" t="str">
        <f>C4</f>
        <v>September</v>
      </c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9"/>
      <c r="AK4" s="74"/>
      <c r="AL4" s="77"/>
      <c r="AM4" s="83"/>
      <c r="AN4" s="86"/>
      <c r="AO4" s="89"/>
      <c r="AP4" s="64"/>
      <c r="AQ4" s="64"/>
    </row>
    <row r="5" spans="2:43">
      <c r="B5" s="5" t="s">
        <v>30</v>
      </c>
      <c r="C5" s="6">
        <v>2026</v>
      </c>
      <c r="D5"/>
      <c r="E5" s="70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2"/>
      <c r="AK5" s="74"/>
      <c r="AL5" s="77"/>
      <c r="AM5" s="83"/>
      <c r="AN5" s="86"/>
      <c r="AO5" s="89"/>
      <c r="AP5" s="64"/>
      <c r="AQ5" s="64"/>
    </row>
    <row r="6" spans="2:43" ht="15" customHeight="1">
      <c r="B6" s="7">
        <f>DATEVALUE("1"&amp;C4&amp;C5)</f>
        <v>46266</v>
      </c>
      <c r="C6" s="7">
        <f>EOMONTH(B6,0)</f>
        <v>46295</v>
      </c>
      <c r="D6" s="7"/>
      <c r="AK6" s="74"/>
      <c r="AL6" s="77"/>
      <c r="AM6" s="83"/>
      <c r="AN6" s="86"/>
      <c r="AO6" s="89"/>
      <c r="AP6" s="64"/>
      <c r="AQ6" s="64"/>
    </row>
    <row r="7" spans="2:43" ht="78" customHeight="1">
      <c r="B7" s="92" t="s">
        <v>31</v>
      </c>
      <c r="C7" s="92" t="s">
        <v>32</v>
      </c>
      <c r="D7" s="8"/>
      <c r="E7" s="9" t="str">
        <f>TEXT(E8,"DDD")</f>
        <v>Tue</v>
      </c>
      <c r="F7" s="9" t="str">
        <f>TEXT(F8,"DDD")</f>
        <v>Wed</v>
      </c>
      <c r="G7" s="9" t="str">
        <f t="shared" ref="G7:AI7" si="0">TEXT(G8,"DDD")</f>
        <v>Thu</v>
      </c>
      <c r="H7" s="9" t="str">
        <f t="shared" si="0"/>
        <v>Fri</v>
      </c>
      <c r="I7" s="9" t="str">
        <f t="shared" si="0"/>
        <v>Sat</v>
      </c>
      <c r="J7" s="9" t="str">
        <f t="shared" si="0"/>
        <v>Sun</v>
      </c>
      <c r="K7" s="9" t="str">
        <f t="shared" si="0"/>
        <v>Mon</v>
      </c>
      <c r="L7" s="9" t="str">
        <f t="shared" si="0"/>
        <v>Tue</v>
      </c>
      <c r="M7" s="9" t="str">
        <f t="shared" si="0"/>
        <v>Wed</v>
      </c>
      <c r="N7" s="9" t="str">
        <f t="shared" si="0"/>
        <v>Thu</v>
      </c>
      <c r="O7" s="9" t="str">
        <f t="shared" si="0"/>
        <v>Fri</v>
      </c>
      <c r="P7" s="9" t="str">
        <f t="shared" si="0"/>
        <v>Sat</v>
      </c>
      <c r="Q7" s="9" t="str">
        <f t="shared" si="0"/>
        <v>Sun</v>
      </c>
      <c r="R7" s="9" t="str">
        <f t="shared" si="0"/>
        <v>Mon</v>
      </c>
      <c r="S7" s="9" t="str">
        <f t="shared" si="0"/>
        <v>Tue</v>
      </c>
      <c r="T7" s="9" t="str">
        <f t="shared" si="0"/>
        <v>Wed</v>
      </c>
      <c r="U7" s="9" t="str">
        <f t="shared" si="0"/>
        <v>Thu</v>
      </c>
      <c r="V7" s="9" t="str">
        <f t="shared" si="0"/>
        <v>Fri</v>
      </c>
      <c r="W7" s="9" t="str">
        <f t="shared" si="0"/>
        <v>Sat</v>
      </c>
      <c r="X7" s="9" t="str">
        <f t="shared" si="0"/>
        <v>Sun</v>
      </c>
      <c r="Y7" s="9" t="str">
        <f t="shared" si="0"/>
        <v>Mon</v>
      </c>
      <c r="Z7" s="9" t="str">
        <f t="shared" si="0"/>
        <v>Tue</v>
      </c>
      <c r="AA7" s="9" t="str">
        <f t="shared" si="0"/>
        <v>Wed</v>
      </c>
      <c r="AB7" s="9" t="str">
        <f t="shared" si="0"/>
        <v>Thu</v>
      </c>
      <c r="AC7" s="9" t="str">
        <f t="shared" si="0"/>
        <v>Fri</v>
      </c>
      <c r="AD7" s="9" t="str">
        <f t="shared" si="0"/>
        <v>Sat</v>
      </c>
      <c r="AE7" s="9" t="str">
        <f t="shared" si="0"/>
        <v>Sun</v>
      </c>
      <c r="AF7" s="9" t="str">
        <f t="shared" si="0"/>
        <v>Mon</v>
      </c>
      <c r="AG7" s="9" t="str">
        <f t="shared" si="0"/>
        <v>Tue</v>
      </c>
      <c r="AH7" s="9" t="str">
        <f t="shared" si="0"/>
        <v>Wed</v>
      </c>
      <c r="AI7" s="9" t="str">
        <f t="shared" si="0"/>
        <v/>
      </c>
      <c r="AK7" s="75"/>
      <c r="AL7" s="78"/>
      <c r="AM7" s="84"/>
      <c r="AN7" s="87"/>
      <c r="AO7" s="90"/>
      <c r="AP7" s="65"/>
      <c r="AQ7" s="65"/>
    </row>
    <row r="8" spans="2:43" ht="15" customHeight="1">
      <c r="B8" s="93"/>
      <c r="C8" s="93"/>
      <c r="D8" s="8"/>
      <c r="E8" s="26">
        <f>B6</f>
        <v>46266</v>
      </c>
      <c r="F8" s="26">
        <f>IFERROR(IF(E8+1&gt;$C$6,"",E8+1),"")</f>
        <v>46267</v>
      </c>
      <c r="G8" s="26">
        <f t="shared" ref="G8:AJ8" si="1">IFERROR(IF(F8+1&gt;$C$6,"",F8+1),"")</f>
        <v>46268</v>
      </c>
      <c r="H8" s="26">
        <f t="shared" si="1"/>
        <v>46269</v>
      </c>
      <c r="I8" s="26">
        <f t="shared" si="1"/>
        <v>46270</v>
      </c>
      <c r="J8" s="26">
        <f t="shared" si="1"/>
        <v>46271</v>
      </c>
      <c r="K8" s="26">
        <f t="shared" si="1"/>
        <v>46272</v>
      </c>
      <c r="L8" s="26">
        <f t="shared" si="1"/>
        <v>46273</v>
      </c>
      <c r="M8" s="26">
        <f t="shared" si="1"/>
        <v>46274</v>
      </c>
      <c r="N8" s="26">
        <f t="shared" si="1"/>
        <v>46275</v>
      </c>
      <c r="O8" s="26">
        <f t="shared" si="1"/>
        <v>46276</v>
      </c>
      <c r="P8" s="26">
        <f t="shared" si="1"/>
        <v>46277</v>
      </c>
      <c r="Q8" s="26">
        <f t="shared" si="1"/>
        <v>46278</v>
      </c>
      <c r="R8" s="26">
        <f t="shared" si="1"/>
        <v>46279</v>
      </c>
      <c r="S8" s="26">
        <f t="shared" si="1"/>
        <v>46280</v>
      </c>
      <c r="T8" s="26">
        <f t="shared" si="1"/>
        <v>46281</v>
      </c>
      <c r="U8" s="26">
        <f t="shared" si="1"/>
        <v>46282</v>
      </c>
      <c r="V8" s="26">
        <f t="shared" si="1"/>
        <v>46283</v>
      </c>
      <c r="W8" s="26">
        <f t="shared" si="1"/>
        <v>46284</v>
      </c>
      <c r="X8" s="26">
        <f t="shared" si="1"/>
        <v>46285</v>
      </c>
      <c r="Y8" s="26">
        <f t="shared" si="1"/>
        <v>46286</v>
      </c>
      <c r="Z8" s="26">
        <f t="shared" si="1"/>
        <v>46287</v>
      </c>
      <c r="AA8" s="26">
        <f t="shared" si="1"/>
        <v>46288</v>
      </c>
      <c r="AB8" s="26">
        <f t="shared" si="1"/>
        <v>46289</v>
      </c>
      <c r="AC8" s="26">
        <f t="shared" si="1"/>
        <v>46290</v>
      </c>
      <c r="AD8" s="26">
        <f t="shared" si="1"/>
        <v>46291</v>
      </c>
      <c r="AE8" s="26">
        <f t="shared" si="1"/>
        <v>46292</v>
      </c>
      <c r="AF8" s="26">
        <f t="shared" si="1"/>
        <v>46293</v>
      </c>
      <c r="AG8" s="26">
        <f t="shared" si="1"/>
        <v>46294</v>
      </c>
      <c r="AH8" s="26">
        <f t="shared" si="1"/>
        <v>46295</v>
      </c>
      <c r="AI8" s="26" t="str">
        <f t="shared" si="1"/>
        <v/>
      </c>
      <c r="AJ8" s="10" t="str">
        <f t="shared" si="1"/>
        <v/>
      </c>
      <c r="AK8"/>
      <c r="AL8"/>
      <c r="AM8"/>
      <c r="AN8"/>
      <c r="AO8"/>
      <c r="AP8"/>
      <c r="AQ8"/>
    </row>
    <row r="9" spans="2:43" ht="15" customHeight="1">
      <c r="B9" s="11" t="s">
        <v>14</v>
      </c>
      <c r="C9" s="11" t="s">
        <v>16</v>
      </c>
      <c r="D9" s="12"/>
      <c r="E9" s="13" t="s">
        <v>25</v>
      </c>
      <c r="F9" s="13" t="s">
        <v>25</v>
      </c>
      <c r="G9" s="13" t="s">
        <v>27</v>
      </c>
      <c r="H9" s="13" t="s">
        <v>25</v>
      </c>
      <c r="I9" s="13" t="s">
        <v>25</v>
      </c>
      <c r="J9" s="13"/>
      <c r="K9" s="13" t="s">
        <v>25</v>
      </c>
      <c r="L9" s="13" t="s">
        <v>25</v>
      </c>
      <c r="M9" s="13" t="s">
        <v>25</v>
      </c>
      <c r="N9" s="13" t="s">
        <v>25</v>
      </c>
      <c r="O9" s="13" t="s">
        <v>26</v>
      </c>
      <c r="P9" s="13" t="s">
        <v>21</v>
      </c>
      <c r="Q9" s="13"/>
      <c r="R9" s="13" t="s">
        <v>21</v>
      </c>
      <c r="S9" s="13" t="s">
        <v>25</v>
      </c>
      <c r="T9" s="13" t="s">
        <v>25</v>
      </c>
      <c r="U9" s="13" t="s">
        <v>25</v>
      </c>
      <c r="V9" s="13" t="s">
        <v>25</v>
      </c>
      <c r="W9" s="13" t="s">
        <v>25</v>
      </c>
      <c r="X9" s="13"/>
      <c r="Y9" s="13" t="s">
        <v>21</v>
      </c>
      <c r="Z9" s="13" t="s">
        <v>25</v>
      </c>
      <c r="AA9" s="13" t="s">
        <v>25</v>
      </c>
      <c r="AB9" s="13" t="s">
        <v>25</v>
      </c>
      <c r="AC9" s="13" t="s">
        <v>25</v>
      </c>
      <c r="AD9" s="13" t="s">
        <v>21</v>
      </c>
      <c r="AE9" s="13"/>
      <c r="AF9" s="13" t="s">
        <v>25</v>
      </c>
      <c r="AG9" s="13" t="s">
        <v>21</v>
      </c>
      <c r="AH9" s="13" t="s">
        <v>25</v>
      </c>
      <c r="AI9" s="13"/>
      <c r="AK9" s="66" t="s">
        <v>33</v>
      </c>
      <c r="AL9" s="79" t="s">
        <v>34</v>
      </c>
      <c r="AM9" s="66" t="s">
        <v>35</v>
      </c>
      <c r="AN9" s="66" t="s">
        <v>36</v>
      </c>
      <c r="AO9" s="66" t="s">
        <v>37</v>
      </c>
      <c r="AP9" s="66" t="s">
        <v>38</v>
      </c>
      <c r="AQ9" s="66" t="s">
        <v>39</v>
      </c>
    </row>
    <row r="10" spans="2:43" ht="15" customHeight="1">
      <c r="B10" s="11" t="s">
        <v>57</v>
      </c>
      <c r="C10" s="11" t="s">
        <v>17</v>
      </c>
      <c r="D10" s="12"/>
      <c r="E10" s="13" t="s">
        <v>21</v>
      </c>
      <c r="F10" s="13" t="s">
        <v>25</v>
      </c>
      <c r="G10" s="13" t="s">
        <v>27</v>
      </c>
      <c r="H10" s="13" t="s">
        <v>25</v>
      </c>
      <c r="I10" s="13" t="s">
        <v>21</v>
      </c>
      <c r="J10" s="13"/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/>
      <c r="R10" s="13" t="s">
        <v>21</v>
      </c>
      <c r="S10" s="13" t="s">
        <v>21</v>
      </c>
      <c r="T10" s="13" t="s">
        <v>21</v>
      </c>
      <c r="U10" s="13" t="s">
        <v>21</v>
      </c>
      <c r="V10" s="13" t="s">
        <v>21</v>
      </c>
      <c r="W10" s="13" t="s">
        <v>21</v>
      </c>
      <c r="X10" s="13"/>
      <c r="Y10" s="13" t="s">
        <v>21</v>
      </c>
      <c r="Z10" s="13" t="s">
        <v>21</v>
      </c>
      <c r="AA10" s="13" t="s">
        <v>21</v>
      </c>
      <c r="AB10" s="13" t="s">
        <v>21</v>
      </c>
      <c r="AC10" s="13" t="s">
        <v>21</v>
      </c>
      <c r="AD10" s="13" t="s">
        <v>21</v>
      </c>
      <c r="AE10" s="13"/>
      <c r="AF10" s="13" t="s">
        <v>25</v>
      </c>
      <c r="AG10" s="13" t="s">
        <v>21</v>
      </c>
      <c r="AH10" s="13" t="s">
        <v>21</v>
      </c>
      <c r="AI10" s="13"/>
      <c r="AK10" s="66"/>
      <c r="AL10" s="80"/>
      <c r="AM10" s="66"/>
      <c r="AN10" s="66"/>
      <c r="AO10" s="66"/>
      <c r="AP10" s="66"/>
      <c r="AQ10" s="66"/>
    </row>
    <row r="11" spans="2:43" ht="15" customHeight="1">
      <c r="B11" s="11" t="s">
        <v>58</v>
      </c>
      <c r="C11" s="11" t="s">
        <v>20</v>
      </c>
      <c r="D11" s="12"/>
      <c r="E11" s="13" t="s">
        <v>25</v>
      </c>
      <c r="F11" s="13" t="s">
        <v>25</v>
      </c>
      <c r="G11" s="13" t="s">
        <v>27</v>
      </c>
      <c r="H11" s="13" t="s">
        <v>25</v>
      </c>
      <c r="I11" s="13" t="s">
        <v>25</v>
      </c>
      <c r="J11" s="13"/>
      <c r="K11" s="13" t="s">
        <v>25</v>
      </c>
      <c r="L11" s="13" t="s">
        <v>25</v>
      </c>
      <c r="M11" s="13" t="s">
        <v>25</v>
      </c>
      <c r="N11" s="13" t="s">
        <v>25</v>
      </c>
      <c r="O11" s="13" t="s">
        <v>25</v>
      </c>
      <c r="P11" s="13" t="s">
        <v>25</v>
      </c>
      <c r="Q11" s="13"/>
      <c r="R11" s="13" t="s">
        <v>25</v>
      </c>
      <c r="S11" s="13" t="s">
        <v>25</v>
      </c>
      <c r="T11" s="13" t="s">
        <v>25</v>
      </c>
      <c r="U11" s="13" t="s">
        <v>26</v>
      </c>
      <c r="V11" s="13" t="s">
        <v>25</v>
      </c>
      <c r="W11" s="13" t="s">
        <v>25</v>
      </c>
      <c r="X11" s="13"/>
      <c r="Y11" s="13" t="s">
        <v>25</v>
      </c>
      <c r="Z11" s="13" t="s">
        <v>25</v>
      </c>
      <c r="AA11" s="13" t="s">
        <v>25</v>
      </c>
      <c r="AB11" s="13" t="s">
        <v>25</v>
      </c>
      <c r="AC11" s="13" t="s">
        <v>25</v>
      </c>
      <c r="AD11" s="13" t="s">
        <v>25</v>
      </c>
      <c r="AE11" s="13"/>
      <c r="AF11" s="13" t="s">
        <v>26</v>
      </c>
      <c r="AG11" s="13" t="s">
        <v>25</v>
      </c>
      <c r="AH11" s="13" t="s">
        <v>25</v>
      </c>
      <c r="AI11" s="13"/>
      <c r="AK11" s="66"/>
      <c r="AL11" s="80"/>
      <c r="AM11" s="66"/>
      <c r="AN11" s="66"/>
      <c r="AO11" s="66"/>
      <c r="AP11" s="66"/>
      <c r="AQ11" s="66"/>
    </row>
    <row r="12" spans="2:43" ht="15" customHeight="1">
      <c r="B12" s="11" t="s">
        <v>81</v>
      </c>
      <c r="C12" s="11" t="s">
        <v>82</v>
      </c>
      <c r="D12" s="12"/>
      <c r="E12" s="13" t="s">
        <v>25</v>
      </c>
      <c r="F12" s="13" t="s">
        <v>25</v>
      </c>
      <c r="G12" s="13" t="s">
        <v>27</v>
      </c>
      <c r="H12" s="13" t="s">
        <v>25</v>
      </c>
      <c r="I12" s="13" t="s">
        <v>25</v>
      </c>
      <c r="J12" s="13"/>
      <c r="K12" s="13" t="s">
        <v>25</v>
      </c>
      <c r="L12" s="13" t="s">
        <v>25</v>
      </c>
      <c r="M12" s="13" t="s">
        <v>25</v>
      </c>
      <c r="N12" s="13" t="s">
        <v>25</v>
      </c>
      <c r="O12" s="13" t="s">
        <v>25</v>
      </c>
      <c r="P12" s="13" t="s">
        <v>25</v>
      </c>
      <c r="Q12" s="13"/>
      <c r="R12" s="13" t="s">
        <v>25</v>
      </c>
      <c r="S12" s="13" t="s">
        <v>25</v>
      </c>
      <c r="T12" s="13" t="s">
        <v>26</v>
      </c>
      <c r="U12" s="13" t="s">
        <v>25</v>
      </c>
      <c r="V12" s="13" t="s">
        <v>25</v>
      </c>
      <c r="W12" s="13" t="s">
        <v>25</v>
      </c>
      <c r="X12" s="13"/>
      <c r="Y12" s="13" t="s">
        <v>25</v>
      </c>
      <c r="Z12" s="13" t="s">
        <v>25</v>
      </c>
      <c r="AA12" s="13" t="s">
        <v>25</v>
      </c>
      <c r="AB12" s="13" t="s">
        <v>25</v>
      </c>
      <c r="AC12" s="13" t="s">
        <v>26</v>
      </c>
      <c r="AD12" s="13" t="s">
        <v>25</v>
      </c>
      <c r="AE12" s="13"/>
      <c r="AF12" s="13" t="s">
        <v>25</v>
      </c>
      <c r="AG12" s="13" t="s">
        <v>25</v>
      </c>
      <c r="AH12" s="13" t="s">
        <v>25</v>
      </c>
      <c r="AI12" s="13"/>
      <c r="AK12" s="66"/>
      <c r="AL12" s="80"/>
      <c r="AM12" s="66"/>
      <c r="AN12" s="66"/>
      <c r="AO12" s="66"/>
      <c r="AP12" s="66"/>
      <c r="AQ12" s="66"/>
    </row>
    <row r="13" spans="2:43" ht="15" customHeight="1">
      <c r="B13" s="11" t="s">
        <v>68</v>
      </c>
      <c r="C13" s="11" t="s">
        <v>69</v>
      </c>
      <c r="D13" s="12"/>
      <c r="E13" s="13" t="s">
        <v>25</v>
      </c>
      <c r="F13" s="13" t="s">
        <v>25</v>
      </c>
      <c r="G13" s="13" t="s">
        <v>27</v>
      </c>
      <c r="H13" s="13" t="s">
        <v>25</v>
      </c>
      <c r="I13" s="13" t="s">
        <v>25</v>
      </c>
      <c r="J13" s="13"/>
      <c r="K13" s="13" t="s">
        <v>25</v>
      </c>
      <c r="L13" s="13" t="s">
        <v>26</v>
      </c>
      <c r="M13" s="13" t="s">
        <v>21</v>
      </c>
      <c r="N13" s="13" t="s">
        <v>25</v>
      </c>
      <c r="O13" s="13" t="s">
        <v>25</v>
      </c>
      <c r="P13" s="13" t="s">
        <v>25</v>
      </c>
      <c r="Q13" s="13"/>
      <c r="R13" s="13" t="s">
        <v>21</v>
      </c>
      <c r="S13" s="13" t="s">
        <v>21</v>
      </c>
      <c r="T13" s="13" t="s">
        <v>21</v>
      </c>
      <c r="U13" s="13" t="s">
        <v>25</v>
      </c>
      <c r="V13" s="13" t="s">
        <v>21</v>
      </c>
      <c r="W13" s="13" t="s">
        <v>25</v>
      </c>
      <c r="X13" s="13"/>
      <c r="Y13" s="13" t="s">
        <v>25</v>
      </c>
      <c r="Z13" s="13" t="s">
        <v>25</v>
      </c>
      <c r="AA13" s="13" t="s">
        <v>26</v>
      </c>
      <c r="AB13" s="13" t="s">
        <v>21</v>
      </c>
      <c r="AC13" s="13" t="s">
        <v>21</v>
      </c>
      <c r="AD13" s="13" t="s">
        <v>21</v>
      </c>
      <c r="AE13" s="13"/>
      <c r="AF13" s="13" t="s">
        <v>25</v>
      </c>
      <c r="AG13" s="13" t="s">
        <v>21</v>
      </c>
      <c r="AH13" s="13" t="s">
        <v>25</v>
      </c>
      <c r="AI13" s="13"/>
      <c r="AK13" s="66"/>
      <c r="AL13" s="80"/>
      <c r="AM13" s="66"/>
      <c r="AN13" s="66"/>
      <c r="AO13" s="66"/>
      <c r="AP13" s="66"/>
      <c r="AQ13" s="66"/>
    </row>
    <row r="14" spans="2:43" ht="15" customHeight="1">
      <c r="B14" s="11" t="s">
        <v>79</v>
      </c>
      <c r="C14" s="11" t="s">
        <v>78</v>
      </c>
      <c r="D14" s="12"/>
      <c r="E14" s="13" t="s">
        <v>25</v>
      </c>
      <c r="F14" s="13" t="s">
        <v>25</v>
      </c>
      <c r="G14" s="13" t="s">
        <v>27</v>
      </c>
      <c r="H14" s="13" t="s">
        <v>25</v>
      </c>
      <c r="I14" s="13" t="s">
        <v>25</v>
      </c>
      <c r="J14" s="13"/>
      <c r="K14" s="13" t="s">
        <v>26</v>
      </c>
      <c r="L14" s="13" t="s">
        <v>25</v>
      </c>
      <c r="M14" s="13" t="s">
        <v>25</v>
      </c>
      <c r="N14" s="13" t="s">
        <v>25</v>
      </c>
      <c r="O14" s="13" t="s">
        <v>25</v>
      </c>
      <c r="P14" s="13" t="s">
        <v>25</v>
      </c>
      <c r="Q14" s="13"/>
      <c r="R14" s="13" t="s">
        <v>25</v>
      </c>
      <c r="S14" s="13" t="s">
        <v>25</v>
      </c>
      <c r="T14" s="13" t="s">
        <v>25</v>
      </c>
      <c r="U14" s="13" t="s">
        <v>25</v>
      </c>
      <c r="V14" s="13" t="s">
        <v>25</v>
      </c>
      <c r="W14" s="13" t="s">
        <v>25</v>
      </c>
      <c r="X14" s="13"/>
      <c r="Y14" s="13" t="s">
        <v>25</v>
      </c>
      <c r="Z14" s="13" t="s">
        <v>25</v>
      </c>
      <c r="AA14" s="13" t="s">
        <v>25</v>
      </c>
      <c r="AB14" s="13" t="s">
        <v>25</v>
      </c>
      <c r="AC14" s="13" t="s">
        <v>25</v>
      </c>
      <c r="AD14" s="13" t="s">
        <v>25</v>
      </c>
      <c r="AE14" s="13"/>
      <c r="AF14" s="13" t="s">
        <v>25</v>
      </c>
      <c r="AG14" s="13" t="s">
        <v>25</v>
      </c>
      <c r="AH14" s="13" t="s">
        <v>25</v>
      </c>
      <c r="AI14" s="13"/>
      <c r="AK14" s="66"/>
      <c r="AL14" s="80"/>
      <c r="AM14" s="66"/>
      <c r="AN14" s="66"/>
      <c r="AO14" s="66"/>
      <c r="AP14" s="66"/>
      <c r="AQ14" s="66"/>
    </row>
    <row r="15" spans="2:43" ht="15" customHeight="1">
      <c r="B15" s="11" t="s">
        <v>77</v>
      </c>
      <c r="C15" s="11" t="s">
        <v>76</v>
      </c>
      <c r="D15" s="12"/>
      <c r="E15" s="13" t="s">
        <v>25</v>
      </c>
      <c r="F15" s="13" t="s">
        <v>25</v>
      </c>
      <c r="G15" s="13" t="s">
        <v>27</v>
      </c>
      <c r="H15" s="13" t="s">
        <v>25</v>
      </c>
      <c r="I15" s="13" t="s">
        <v>25</v>
      </c>
      <c r="J15" s="13"/>
      <c r="K15" s="13" t="s">
        <v>25</v>
      </c>
      <c r="L15" s="13" t="s">
        <v>25</v>
      </c>
      <c r="M15" s="13" t="s">
        <v>25</v>
      </c>
      <c r="N15" s="13" t="s">
        <v>25</v>
      </c>
      <c r="O15" s="13" t="s">
        <v>25</v>
      </c>
      <c r="P15" s="13" t="s">
        <v>25</v>
      </c>
      <c r="Q15" s="13"/>
      <c r="R15" s="13" t="s">
        <v>25</v>
      </c>
      <c r="S15" s="13" t="s">
        <v>25</v>
      </c>
      <c r="T15" s="13" t="s">
        <v>25</v>
      </c>
      <c r="U15" s="13" t="s">
        <v>25</v>
      </c>
      <c r="V15" s="13" t="s">
        <v>25</v>
      </c>
      <c r="W15" s="13" t="s">
        <v>25</v>
      </c>
      <c r="X15" s="13"/>
      <c r="Y15" s="13" t="s">
        <v>25</v>
      </c>
      <c r="Z15" s="13" t="s">
        <v>25</v>
      </c>
      <c r="AA15" s="13" t="s">
        <v>25</v>
      </c>
      <c r="AB15" s="13" t="s">
        <v>25</v>
      </c>
      <c r="AC15" s="13" t="s">
        <v>25</v>
      </c>
      <c r="AD15" s="13" t="s">
        <v>25</v>
      </c>
      <c r="AE15" s="13"/>
      <c r="AF15" s="13" t="s">
        <v>25</v>
      </c>
      <c r="AG15" s="13" t="s">
        <v>21</v>
      </c>
      <c r="AH15" s="13" t="s">
        <v>26</v>
      </c>
      <c r="AI15" s="13"/>
      <c r="AK15" s="66"/>
      <c r="AL15" s="80"/>
      <c r="AM15" s="66"/>
      <c r="AN15" s="66"/>
      <c r="AO15" s="66"/>
      <c r="AP15" s="66"/>
      <c r="AQ15" s="66"/>
    </row>
    <row r="16" spans="2:43" ht="15" customHeight="1">
      <c r="B16" s="11" t="s">
        <v>70</v>
      </c>
      <c r="C16" s="11" t="s">
        <v>74</v>
      </c>
      <c r="D16" s="12"/>
      <c r="E16" s="13" t="s">
        <v>25</v>
      </c>
      <c r="F16" s="13" t="s">
        <v>25</v>
      </c>
      <c r="G16" s="13" t="s">
        <v>27</v>
      </c>
      <c r="H16" s="13" t="s">
        <v>25</v>
      </c>
      <c r="I16" s="13" t="s">
        <v>25</v>
      </c>
      <c r="J16" s="13"/>
      <c r="K16" s="13" t="s">
        <v>25</v>
      </c>
      <c r="L16" s="13" t="s">
        <v>25</v>
      </c>
      <c r="M16" s="13" t="s">
        <v>25</v>
      </c>
      <c r="N16" s="13" t="s">
        <v>25</v>
      </c>
      <c r="O16" s="13" t="s">
        <v>25</v>
      </c>
      <c r="P16" s="13" t="s">
        <v>25</v>
      </c>
      <c r="Q16" s="13"/>
      <c r="R16" s="13" t="s">
        <v>25</v>
      </c>
      <c r="S16" s="13" t="s">
        <v>25</v>
      </c>
      <c r="T16" s="13" t="s">
        <v>21</v>
      </c>
      <c r="U16" s="13" t="s">
        <v>25</v>
      </c>
      <c r="V16" s="13" t="s">
        <v>25</v>
      </c>
      <c r="W16" s="13" t="s">
        <v>25</v>
      </c>
      <c r="X16" s="13"/>
      <c r="Y16" s="13" t="s">
        <v>25</v>
      </c>
      <c r="Z16" s="13" t="s">
        <v>23</v>
      </c>
      <c r="AA16" s="13" t="s">
        <v>25</v>
      </c>
      <c r="AB16" s="13" t="s">
        <v>25</v>
      </c>
      <c r="AC16" s="13" t="s">
        <v>25</v>
      </c>
      <c r="AD16" s="13" t="s">
        <v>25</v>
      </c>
      <c r="AE16" s="13"/>
      <c r="AF16" s="13" t="s">
        <v>25</v>
      </c>
      <c r="AG16" s="13" t="s">
        <v>25</v>
      </c>
      <c r="AH16" s="13" t="s">
        <v>21</v>
      </c>
      <c r="AI16" s="13"/>
      <c r="AK16" s="66"/>
      <c r="AL16" s="80"/>
      <c r="AM16" s="66"/>
      <c r="AN16" s="66"/>
      <c r="AO16" s="66"/>
      <c r="AP16" s="66"/>
      <c r="AQ16" s="66"/>
    </row>
    <row r="17" spans="2:43" ht="15" customHeight="1">
      <c r="B17" s="11" t="s">
        <v>75</v>
      </c>
      <c r="C17" s="11" t="s">
        <v>80</v>
      </c>
      <c r="D17" s="12"/>
      <c r="E17" s="13" t="s">
        <v>25</v>
      </c>
      <c r="F17" s="13" t="s">
        <v>25</v>
      </c>
      <c r="G17" s="13" t="s">
        <v>27</v>
      </c>
      <c r="H17" s="13" t="s">
        <v>25</v>
      </c>
      <c r="I17" s="13" t="s">
        <v>25</v>
      </c>
      <c r="J17" s="13"/>
      <c r="K17" s="13" t="s">
        <v>25</v>
      </c>
      <c r="L17" s="13" t="s">
        <v>25</v>
      </c>
      <c r="M17" s="13" t="s">
        <v>25</v>
      </c>
      <c r="N17" s="13" t="s">
        <v>25</v>
      </c>
      <c r="O17" s="13" t="s">
        <v>25</v>
      </c>
      <c r="P17" s="13" t="s">
        <v>25</v>
      </c>
      <c r="Q17" s="13"/>
      <c r="R17" s="13" t="s">
        <v>25</v>
      </c>
      <c r="S17" s="13" t="s">
        <v>25</v>
      </c>
      <c r="T17" s="13" t="s">
        <v>25</v>
      </c>
      <c r="U17" s="13" t="s">
        <v>23</v>
      </c>
      <c r="V17" s="13" t="s">
        <v>25</v>
      </c>
      <c r="W17" s="13" t="s">
        <v>25</v>
      </c>
      <c r="X17" s="13"/>
      <c r="Y17" s="13" t="s">
        <v>25</v>
      </c>
      <c r="Z17" s="13" t="s">
        <v>25</v>
      </c>
      <c r="AA17" s="13" t="s">
        <v>25</v>
      </c>
      <c r="AB17" s="13" t="s">
        <v>25</v>
      </c>
      <c r="AC17" s="13" t="s">
        <v>25</v>
      </c>
      <c r="AD17" s="13" t="s">
        <v>25</v>
      </c>
      <c r="AE17" s="13"/>
      <c r="AF17" s="13" t="s">
        <v>25</v>
      </c>
      <c r="AG17" s="13" t="s">
        <v>25</v>
      </c>
      <c r="AH17" s="13" t="s">
        <v>25</v>
      </c>
      <c r="AI17" s="13"/>
      <c r="AK17" s="66"/>
      <c r="AL17" s="80"/>
      <c r="AM17" s="66"/>
      <c r="AN17" s="66"/>
      <c r="AO17" s="66"/>
      <c r="AP17" s="66"/>
      <c r="AQ17" s="66"/>
    </row>
    <row r="18" spans="2:43" ht="15" customHeight="1">
      <c r="B18" s="11" t="s">
        <v>102</v>
      </c>
      <c r="C18" s="11" t="s">
        <v>83</v>
      </c>
      <c r="D18" s="12"/>
      <c r="E18" s="13" t="s">
        <v>25</v>
      </c>
      <c r="F18" s="13" t="s">
        <v>25</v>
      </c>
      <c r="G18" s="13" t="s">
        <v>27</v>
      </c>
      <c r="H18" s="13" t="s">
        <v>25</v>
      </c>
      <c r="I18" s="13" t="s">
        <v>25</v>
      </c>
      <c r="J18" s="13"/>
      <c r="K18" s="13" t="s">
        <v>25</v>
      </c>
      <c r="L18" s="13" t="s">
        <v>25</v>
      </c>
      <c r="M18" s="13" t="s">
        <v>25</v>
      </c>
      <c r="N18" s="13" t="s">
        <v>25</v>
      </c>
      <c r="O18" s="13" t="s">
        <v>25</v>
      </c>
      <c r="P18" s="13" t="s">
        <v>25</v>
      </c>
      <c r="Q18" s="13"/>
      <c r="R18" s="13" t="s">
        <v>25</v>
      </c>
      <c r="S18" s="13" t="s">
        <v>25</v>
      </c>
      <c r="T18" s="13" t="s">
        <v>25</v>
      </c>
      <c r="U18" s="13" t="s">
        <v>25</v>
      </c>
      <c r="V18" s="13" t="s">
        <v>25</v>
      </c>
      <c r="W18" s="13" t="s">
        <v>25</v>
      </c>
      <c r="X18" s="13"/>
      <c r="Y18" s="13" t="s">
        <v>25</v>
      </c>
      <c r="Z18" s="13" t="s">
        <v>25</v>
      </c>
      <c r="AA18" s="13" t="s">
        <v>25</v>
      </c>
      <c r="AB18" s="13" t="s">
        <v>25</v>
      </c>
      <c r="AC18" s="13" t="s">
        <v>25</v>
      </c>
      <c r="AD18" s="13" t="s">
        <v>25</v>
      </c>
      <c r="AE18" s="13"/>
      <c r="AF18" s="13" t="s">
        <v>25</v>
      </c>
      <c r="AG18" s="13" t="s">
        <v>26</v>
      </c>
      <c r="AH18" s="13" t="s">
        <v>25</v>
      </c>
      <c r="AI18" s="13"/>
      <c r="AK18" s="66"/>
      <c r="AL18" s="80"/>
      <c r="AM18" s="66"/>
      <c r="AN18" s="66"/>
      <c r="AO18" s="66"/>
      <c r="AP18" s="66"/>
      <c r="AQ18" s="66"/>
    </row>
    <row r="19" spans="2:43" ht="15" customHeight="1">
      <c r="B19" s="11">
        <v>0</v>
      </c>
      <c r="C19" s="11">
        <v>0</v>
      </c>
      <c r="D19" s="12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K19" s="66"/>
      <c r="AL19" s="80"/>
      <c r="AM19" s="66"/>
      <c r="AN19" s="66"/>
      <c r="AO19" s="66"/>
      <c r="AP19" s="66"/>
      <c r="AQ19" s="66"/>
    </row>
    <row r="20" spans="2:43" ht="15" customHeight="1">
      <c r="B20" s="11">
        <v>0</v>
      </c>
      <c r="C20" s="11">
        <v>0</v>
      </c>
      <c r="D20" s="12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K20" s="66"/>
      <c r="AL20" s="80"/>
      <c r="AM20" s="66"/>
      <c r="AN20" s="66"/>
      <c r="AO20" s="66"/>
      <c r="AP20" s="66"/>
      <c r="AQ20" s="66"/>
    </row>
    <row r="21" spans="2:43" ht="15" customHeight="1">
      <c r="B21" s="11">
        <v>0</v>
      </c>
      <c r="C21" s="11">
        <v>0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K21" s="66"/>
      <c r="AL21" s="80"/>
      <c r="AM21" s="66"/>
      <c r="AN21" s="66"/>
      <c r="AO21" s="66"/>
      <c r="AP21" s="66"/>
      <c r="AQ21" s="66"/>
    </row>
    <row r="22" spans="2:43" ht="15" customHeight="1">
      <c r="B22" s="11">
        <v>0</v>
      </c>
      <c r="C22" s="11">
        <v>0</v>
      </c>
      <c r="D22" s="12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K22" s="66"/>
      <c r="AL22" s="80"/>
      <c r="AM22" s="66"/>
      <c r="AN22" s="66"/>
      <c r="AO22" s="66"/>
      <c r="AP22" s="66"/>
      <c r="AQ22" s="66"/>
    </row>
    <row r="23" spans="2:43" ht="15" customHeight="1">
      <c r="B23" s="11">
        <v>0</v>
      </c>
      <c r="C23" s="11">
        <v>0</v>
      </c>
      <c r="D23" s="12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K23" s="66"/>
      <c r="AL23" s="81"/>
      <c r="AM23" s="66"/>
      <c r="AN23" s="66"/>
      <c r="AO23" s="66"/>
      <c r="AP23" s="66"/>
      <c r="AQ23" s="66"/>
    </row>
    <row r="25" spans="2:43" ht="18">
      <c r="B25" s="14" t="str">
        <f>B7</f>
        <v>Emp.ID</v>
      </c>
      <c r="C25" s="14" t="str">
        <f>C7</f>
        <v>Emp.Name</v>
      </c>
      <c r="E25" s="57" t="s">
        <v>33</v>
      </c>
      <c r="F25" s="57"/>
      <c r="G25" s="58" t="s">
        <v>34</v>
      </c>
      <c r="H25" s="59"/>
      <c r="I25" s="60"/>
      <c r="J25" s="57" t="s">
        <v>35</v>
      </c>
      <c r="K25" s="57"/>
      <c r="L25" s="57"/>
      <c r="M25" s="57" t="s">
        <v>40</v>
      </c>
      <c r="N25" s="57"/>
      <c r="O25" s="57"/>
      <c r="P25" s="57"/>
      <c r="Q25" s="57" t="s">
        <v>37</v>
      </c>
      <c r="R25" s="57"/>
      <c r="S25" s="57"/>
      <c r="T25" s="57"/>
      <c r="U25" s="57" t="s">
        <v>38</v>
      </c>
      <c r="V25" s="57"/>
      <c r="W25" s="57"/>
      <c r="X25" s="57"/>
      <c r="Y25" s="57"/>
      <c r="Z25" s="57" t="s">
        <v>39</v>
      </c>
      <c r="AA25" s="57"/>
      <c r="AB25" s="57"/>
      <c r="AC25" s="57"/>
      <c r="AD25" s="57"/>
    </row>
    <row r="26" spans="2:43">
      <c r="B26" s="11" t="str">
        <f t="shared" ref="B26:B29" si="2">B9</f>
        <v>EMP02</v>
      </c>
      <c r="C26" s="11" t="str">
        <f>C9</f>
        <v>Shahzaib Ali</v>
      </c>
      <c r="E26" s="61">
        <f t="shared" ref="E26:E39" si="3">COUNTIF(E9:AI9,"L")</f>
        <v>5</v>
      </c>
      <c r="F26" s="61"/>
      <c r="G26" s="62">
        <f t="shared" ref="G26:G40" si="4">COUNTIF(E9:AI9,"D")</f>
        <v>0</v>
      </c>
      <c r="H26" s="62"/>
      <c r="I26" s="62"/>
      <c r="J26" s="61">
        <f t="shared" ref="J26:J39" si="5">COUNTIF(E9:AI9,"H")</f>
        <v>0</v>
      </c>
      <c r="K26" s="61"/>
      <c r="L26" s="61"/>
      <c r="M26" s="62">
        <f t="shared" ref="M26:M39" si="6">COUNTIF(E9:AI9,"O")</f>
        <v>0</v>
      </c>
      <c r="N26" s="62"/>
      <c r="O26" s="62"/>
      <c r="P26" s="62"/>
      <c r="Q26" s="61">
        <f t="shared" ref="Q26:Q40" si="7">COUNTIF(E9:AI9,"P")</f>
        <v>19</v>
      </c>
      <c r="R26" s="61"/>
      <c r="S26" s="61"/>
      <c r="T26" s="61"/>
      <c r="U26" s="62">
        <f t="shared" ref="U26:U38" si="8">COUNTIF(E9:AI9,"DA")</f>
        <v>1</v>
      </c>
      <c r="V26" s="62"/>
      <c r="W26" s="62"/>
      <c r="X26" s="62"/>
      <c r="Y26" s="62"/>
      <c r="Z26" s="61">
        <f t="shared" ref="Z26:Z38" si="9">COUNTIF(E9:AI9,"HA")</f>
        <v>1</v>
      </c>
      <c r="AA26" s="61"/>
      <c r="AB26" s="61"/>
      <c r="AC26" s="61"/>
      <c r="AD26" s="61"/>
    </row>
    <row r="27" spans="2:43">
      <c r="B27" s="11" t="str">
        <f t="shared" si="2"/>
        <v>EMP03</v>
      </c>
      <c r="C27" s="11" t="str">
        <f t="shared" ref="C27:C38" si="10">C10</f>
        <v>Sheikh Muhammad Afnan</v>
      </c>
      <c r="E27" s="61">
        <f t="shared" si="3"/>
        <v>22</v>
      </c>
      <c r="F27" s="61"/>
      <c r="G27" s="62">
        <f t="shared" si="4"/>
        <v>0</v>
      </c>
      <c r="H27" s="62"/>
      <c r="I27" s="62"/>
      <c r="J27" s="61">
        <f t="shared" si="5"/>
        <v>0</v>
      </c>
      <c r="K27" s="61"/>
      <c r="L27" s="61"/>
      <c r="M27" s="62">
        <f t="shared" si="6"/>
        <v>0</v>
      </c>
      <c r="N27" s="62"/>
      <c r="O27" s="62"/>
      <c r="P27" s="62"/>
      <c r="Q27" s="61">
        <f t="shared" si="7"/>
        <v>3</v>
      </c>
      <c r="R27" s="61"/>
      <c r="S27" s="61"/>
      <c r="T27" s="61"/>
      <c r="U27" s="62">
        <f t="shared" si="8"/>
        <v>0</v>
      </c>
      <c r="V27" s="62"/>
      <c r="W27" s="62"/>
      <c r="X27" s="62"/>
      <c r="Y27" s="62"/>
      <c r="Z27" s="61">
        <f t="shared" si="9"/>
        <v>1</v>
      </c>
      <c r="AA27" s="61"/>
      <c r="AB27" s="61"/>
      <c r="AC27" s="61"/>
      <c r="AD27" s="61"/>
    </row>
    <row r="28" spans="2:43">
      <c r="B28" s="11" t="str">
        <f t="shared" si="2"/>
        <v>EMP06</v>
      </c>
      <c r="C28" s="11" t="str">
        <f t="shared" si="10"/>
        <v>Malik Nisar Ahmed</v>
      </c>
      <c r="E28" s="61">
        <f t="shared" si="3"/>
        <v>0</v>
      </c>
      <c r="F28" s="61"/>
      <c r="G28" s="62">
        <f t="shared" si="4"/>
        <v>0</v>
      </c>
      <c r="H28" s="62"/>
      <c r="I28" s="62"/>
      <c r="J28" s="61">
        <f t="shared" si="5"/>
        <v>0</v>
      </c>
      <c r="K28" s="61"/>
      <c r="L28" s="61"/>
      <c r="M28" s="62">
        <f t="shared" si="6"/>
        <v>0</v>
      </c>
      <c r="N28" s="62"/>
      <c r="O28" s="62"/>
      <c r="P28" s="62"/>
      <c r="Q28" s="61">
        <f t="shared" si="7"/>
        <v>23</v>
      </c>
      <c r="R28" s="61"/>
      <c r="S28" s="61"/>
      <c r="T28" s="61"/>
      <c r="U28" s="62">
        <f t="shared" si="8"/>
        <v>2</v>
      </c>
      <c r="V28" s="62"/>
      <c r="W28" s="62"/>
      <c r="X28" s="62"/>
      <c r="Y28" s="62"/>
      <c r="Z28" s="61">
        <f t="shared" si="9"/>
        <v>1</v>
      </c>
      <c r="AA28" s="61"/>
      <c r="AB28" s="61"/>
      <c r="AC28" s="61"/>
      <c r="AD28" s="61"/>
    </row>
    <row r="29" spans="2:43">
      <c r="B29" s="11" t="str">
        <f t="shared" si="2"/>
        <v>EMP09</v>
      </c>
      <c r="C29" s="11" t="str">
        <f t="shared" si="10"/>
        <v>Muhammad Asif</v>
      </c>
      <c r="E29" s="61">
        <f t="shared" si="3"/>
        <v>0</v>
      </c>
      <c r="F29" s="61"/>
      <c r="G29" s="62">
        <f t="shared" si="4"/>
        <v>0</v>
      </c>
      <c r="H29" s="62"/>
      <c r="I29" s="62"/>
      <c r="J29" s="61">
        <f t="shared" si="5"/>
        <v>0</v>
      </c>
      <c r="K29" s="61"/>
      <c r="L29" s="61"/>
      <c r="M29" s="62">
        <f t="shared" si="6"/>
        <v>0</v>
      </c>
      <c r="N29" s="62"/>
      <c r="O29" s="62"/>
      <c r="P29" s="62"/>
      <c r="Q29" s="61">
        <f t="shared" si="7"/>
        <v>23</v>
      </c>
      <c r="R29" s="61"/>
      <c r="S29" s="61"/>
      <c r="T29" s="61"/>
      <c r="U29" s="62">
        <f t="shared" si="8"/>
        <v>2</v>
      </c>
      <c r="V29" s="62"/>
      <c r="W29" s="62"/>
      <c r="X29" s="62"/>
      <c r="Y29" s="62"/>
      <c r="Z29" s="61">
        <f t="shared" si="9"/>
        <v>1</v>
      </c>
      <c r="AA29" s="61"/>
      <c r="AB29" s="61"/>
      <c r="AC29" s="61"/>
      <c r="AD29" s="61"/>
    </row>
    <row r="30" spans="2:43">
      <c r="B30" s="11" t="str">
        <f t="shared" ref="B30:B38" si="11">B13</f>
        <v>EMP10</v>
      </c>
      <c r="C30" s="11" t="str">
        <f t="shared" ref="C30:C35" si="12">C13</f>
        <v>Jahanzaib Nassar</v>
      </c>
      <c r="E30" s="61">
        <f t="shared" si="3"/>
        <v>9</v>
      </c>
      <c r="F30" s="61"/>
      <c r="G30" s="62">
        <f t="shared" si="4"/>
        <v>0</v>
      </c>
      <c r="H30" s="62"/>
      <c r="I30" s="62"/>
      <c r="J30" s="61">
        <f t="shared" si="5"/>
        <v>0</v>
      </c>
      <c r="K30" s="61"/>
      <c r="L30" s="61"/>
      <c r="M30" s="62">
        <f t="shared" si="6"/>
        <v>0</v>
      </c>
      <c r="N30" s="62"/>
      <c r="O30" s="62"/>
      <c r="P30" s="62"/>
      <c r="Q30" s="61">
        <f t="shared" si="7"/>
        <v>14</v>
      </c>
      <c r="R30" s="61"/>
      <c r="S30" s="61"/>
      <c r="T30" s="61"/>
      <c r="U30" s="62">
        <f t="shared" si="8"/>
        <v>2</v>
      </c>
      <c r="V30" s="62"/>
      <c r="W30" s="62"/>
      <c r="X30" s="62"/>
      <c r="Y30" s="62"/>
      <c r="Z30" s="61">
        <f t="shared" si="9"/>
        <v>1</v>
      </c>
      <c r="AA30" s="61"/>
      <c r="AB30" s="61"/>
      <c r="AC30" s="61"/>
      <c r="AD30" s="61"/>
    </row>
    <row r="31" spans="2:43">
      <c r="B31" s="11" t="str">
        <f t="shared" si="11"/>
        <v>EMP25</v>
      </c>
      <c r="C31" s="11" t="str">
        <f t="shared" si="12"/>
        <v>Awais Abbasi</v>
      </c>
      <c r="E31" s="61">
        <f t="shared" si="3"/>
        <v>0</v>
      </c>
      <c r="F31" s="61"/>
      <c r="G31" s="62">
        <f t="shared" si="4"/>
        <v>0</v>
      </c>
      <c r="H31" s="62"/>
      <c r="I31" s="62"/>
      <c r="J31" s="61">
        <f t="shared" si="5"/>
        <v>0</v>
      </c>
      <c r="K31" s="61"/>
      <c r="L31" s="61"/>
      <c r="M31" s="62">
        <f t="shared" si="6"/>
        <v>0</v>
      </c>
      <c r="N31" s="62"/>
      <c r="O31" s="62"/>
      <c r="P31" s="62"/>
      <c r="Q31" s="61">
        <f t="shared" si="7"/>
        <v>24</v>
      </c>
      <c r="R31" s="61"/>
      <c r="S31" s="61"/>
      <c r="T31" s="61"/>
      <c r="U31" s="62">
        <f t="shared" si="8"/>
        <v>1</v>
      </c>
      <c r="V31" s="62"/>
      <c r="W31" s="62"/>
      <c r="X31" s="62"/>
      <c r="Y31" s="62"/>
      <c r="Z31" s="61">
        <f t="shared" si="9"/>
        <v>1</v>
      </c>
      <c r="AA31" s="61"/>
      <c r="AB31" s="61"/>
      <c r="AC31" s="61"/>
      <c r="AD31" s="61"/>
    </row>
    <row r="32" spans="2:43">
      <c r="B32" s="11" t="str">
        <f t="shared" si="11"/>
        <v>EMP35</v>
      </c>
      <c r="C32" s="11" t="str">
        <f t="shared" si="12"/>
        <v>Husnain Nasrullah</v>
      </c>
      <c r="E32" s="61">
        <f t="shared" si="3"/>
        <v>1</v>
      </c>
      <c r="F32" s="61"/>
      <c r="G32" s="62">
        <f t="shared" si="4"/>
        <v>0</v>
      </c>
      <c r="H32" s="62"/>
      <c r="I32" s="62"/>
      <c r="J32" s="61">
        <f t="shared" si="5"/>
        <v>0</v>
      </c>
      <c r="K32" s="61"/>
      <c r="L32" s="61"/>
      <c r="M32" s="62">
        <f t="shared" si="6"/>
        <v>0</v>
      </c>
      <c r="N32" s="62"/>
      <c r="O32" s="62"/>
      <c r="P32" s="62"/>
      <c r="Q32" s="61">
        <f t="shared" si="7"/>
        <v>23</v>
      </c>
      <c r="R32" s="61"/>
      <c r="S32" s="61"/>
      <c r="T32" s="61"/>
      <c r="U32" s="62">
        <f t="shared" si="8"/>
        <v>1</v>
      </c>
      <c r="V32" s="62"/>
      <c r="W32" s="62"/>
      <c r="X32" s="62"/>
      <c r="Y32" s="62"/>
      <c r="Z32" s="61">
        <f t="shared" si="9"/>
        <v>1</v>
      </c>
      <c r="AA32" s="61"/>
      <c r="AB32" s="61"/>
      <c r="AC32" s="61"/>
      <c r="AD32" s="61"/>
    </row>
    <row r="33" spans="2:31">
      <c r="B33" s="11" t="str">
        <f t="shared" si="11"/>
        <v>EMP40</v>
      </c>
      <c r="C33" s="11" t="str">
        <f t="shared" si="12"/>
        <v>Sheikh Muhammad Usman</v>
      </c>
      <c r="E33" s="61">
        <f t="shared" si="3"/>
        <v>2</v>
      </c>
      <c r="F33" s="61"/>
      <c r="G33" s="62">
        <f t="shared" si="4"/>
        <v>0</v>
      </c>
      <c r="H33" s="62"/>
      <c r="I33" s="62"/>
      <c r="J33" s="61">
        <f t="shared" si="5"/>
        <v>1</v>
      </c>
      <c r="K33" s="61"/>
      <c r="L33" s="61"/>
      <c r="M33" s="62">
        <f t="shared" si="6"/>
        <v>0</v>
      </c>
      <c r="N33" s="62"/>
      <c r="O33" s="62"/>
      <c r="P33" s="62"/>
      <c r="Q33" s="61">
        <f t="shared" si="7"/>
        <v>22</v>
      </c>
      <c r="R33" s="61"/>
      <c r="S33" s="61"/>
      <c r="T33" s="61"/>
      <c r="U33" s="62">
        <f t="shared" si="8"/>
        <v>0</v>
      </c>
      <c r="V33" s="62"/>
      <c r="W33" s="62"/>
      <c r="X33" s="62"/>
      <c r="Y33" s="62"/>
      <c r="Z33" s="61">
        <f t="shared" si="9"/>
        <v>1</v>
      </c>
      <c r="AA33" s="61"/>
      <c r="AB33" s="61"/>
      <c r="AC33" s="61"/>
      <c r="AD33" s="61"/>
    </row>
    <row r="34" spans="2:31">
      <c r="B34" s="11" t="str">
        <f t="shared" si="11"/>
        <v>EMP41</v>
      </c>
      <c r="C34" s="11" t="str">
        <f t="shared" si="12"/>
        <v>Ali Hammad</v>
      </c>
      <c r="E34" s="61">
        <f t="shared" si="3"/>
        <v>0</v>
      </c>
      <c r="F34" s="61"/>
      <c r="G34" s="62">
        <f t="shared" si="4"/>
        <v>0</v>
      </c>
      <c r="H34" s="62"/>
      <c r="I34" s="62"/>
      <c r="J34" s="61">
        <f t="shared" si="5"/>
        <v>1</v>
      </c>
      <c r="K34" s="61"/>
      <c r="L34" s="61"/>
      <c r="M34" s="62">
        <f t="shared" si="6"/>
        <v>0</v>
      </c>
      <c r="N34" s="62"/>
      <c r="O34" s="62"/>
      <c r="P34" s="62"/>
      <c r="Q34" s="61">
        <f t="shared" si="7"/>
        <v>24</v>
      </c>
      <c r="R34" s="61"/>
      <c r="S34" s="61"/>
      <c r="T34" s="61"/>
      <c r="U34" s="62">
        <f t="shared" si="8"/>
        <v>0</v>
      </c>
      <c r="V34" s="62"/>
      <c r="W34" s="62"/>
      <c r="X34" s="62"/>
      <c r="Y34" s="62"/>
      <c r="Z34" s="61">
        <f t="shared" si="9"/>
        <v>1</v>
      </c>
      <c r="AA34" s="61"/>
      <c r="AB34" s="61"/>
      <c r="AC34" s="61"/>
      <c r="AD34" s="61"/>
    </row>
    <row r="35" spans="2:31">
      <c r="B35" s="11" t="str">
        <f t="shared" si="11"/>
        <v>EMP43</v>
      </c>
      <c r="C35" s="11" t="str">
        <f t="shared" si="12"/>
        <v>Wasey Zai</v>
      </c>
      <c r="E35" s="61">
        <f t="shared" si="3"/>
        <v>0</v>
      </c>
      <c r="F35" s="61"/>
      <c r="G35" s="62">
        <f t="shared" si="4"/>
        <v>0</v>
      </c>
      <c r="H35" s="62"/>
      <c r="I35" s="62"/>
      <c r="J35" s="61">
        <f t="shared" si="5"/>
        <v>0</v>
      </c>
      <c r="K35" s="61"/>
      <c r="L35" s="61"/>
      <c r="M35" s="62">
        <f t="shared" si="6"/>
        <v>0</v>
      </c>
      <c r="N35" s="62"/>
      <c r="O35" s="62"/>
      <c r="P35" s="62"/>
      <c r="Q35" s="61">
        <f t="shared" si="7"/>
        <v>24</v>
      </c>
      <c r="R35" s="61"/>
      <c r="S35" s="61"/>
      <c r="T35" s="61"/>
      <c r="U35" s="62">
        <f t="shared" si="8"/>
        <v>1</v>
      </c>
      <c r="V35" s="62"/>
      <c r="W35" s="62"/>
      <c r="X35" s="62"/>
      <c r="Y35" s="62"/>
      <c r="Z35" s="61">
        <f t="shared" si="9"/>
        <v>1</v>
      </c>
      <c r="AA35" s="61"/>
      <c r="AB35" s="61"/>
      <c r="AC35" s="61"/>
      <c r="AD35" s="61"/>
    </row>
    <row r="36" spans="2:31">
      <c r="B36" s="11">
        <f t="shared" si="11"/>
        <v>0</v>
      </c>
      <c r="C36" s="11">
        <f t="shared" si="10"/>
        <v>0</v>
      </c>
      <c r="E36" s="61">
        <f t="shared" si="3"/>
        <v>0</v>
      </c>
      <c r="F36" s="61"/>
      <c r="G36" s="62">
        <f t="shared" si="4"/>
        <v>0</v>
      </c>
      <c r="H36" s="62"/>
      <c r="I36" s="62"/>
      <c r="J36" s="61">
        <f t="shared" si="5"/>
        <v>0</v>
      </c>
      <c r="K36" s="61"/>
      <c r="L36" s="61"/>
      <c r="M36" s="62">
        <f t="shared" si="6"/>
        <v>0</v>
      </c>
      <c r="N36" s="62"/>
      <c r="O36" s="62"/>
      <c r="P36" s="62"/>
      <c r="Q36" s="61">
        <f t="shared" si="7"/>
        <v>0</v>
      </c>
      <c r="R36" s="61"/>
      <c r="S36" s="61"/>
      <c r="T36" s="61"/>
      <c r="U36" s="62">
        <f t="shared" si="8"/>
        <v>0</v>
      </c>
      <c r="V36" s="62"/>
      <c r="W36" s="62"/>
      <c r="X36" s="62"/>
      <c r="Y36" s="62"/>
      <c r="Z36" s="61">
        <f t="shared" si="9"/>
        <v>0</v>
      </c>
      <c r="AA36" s="61"/>
      <c r="AB36" s="61"/>
      <c r="AC36" s="61"/>
      <c r="AD36" s="61"/>
    </row>
    <row r="37" spans="2:31">
      <c r="B37" s="11">
        <f t="shared" si="11"/>
        <v>0</v>
      </c>
      <c r="C37" s="11">
        <f t="shared" si="10"/>
        <v>0</v>
      </c>
      <c r="E37" s="61">
        <f t="shared" si="3"/>
        <v>0</v>
      </c>
      <c r="F37" s="61"/>
      <c r="G37" s="62">
        <f t="shared" si="4"/>
        <v>0</v>
      </c>
      <c r="H37" s="62"/>
      <c r="I37" s="62"/>
      <c r="J37" s="61">
        <f t="shared" si="5"/>
        <v>0</v>
      </c>
      <c r="K37" s="61"/>
      <c r="L37" s="61"/>
      <c r="M37" s="62">
        <f t="shared" si="6"/>
        <v>0</v>
      </c>
      <c r="N37" s="62"/>
      <c r="O37" s="62"/>
      <c r="P37" s="62"/>
      <c r="Q37" s="61">
        <f t="shared" si="7"/>
        <v>0</v>
      </c>
      <c r="R37" s="61"/>
      <c r="S37" s="61"/>
      <c r="T37" s="61"/>
      <c r="U37" s="62">
        <f t="shared" si="8"/>
        <v>0</v>
      </c>
      <c r="V37" s="62"/>
      <c r="W37" s="62"/>
      <c r="X37" s="62"/>
      <c r="Y37" s="62"/>
      <c r="Z37" s="61">
        <f t="shared" si="9"/>
        <v>0</v>
      </c>
      <c r="AA37" s="61"/>
      <c r="AB37" s="61"/>
      <c r="AC37" s="61"/>
      <c r="AD37" s="61"/>
    </row>
    <row r="38" spans="2:31">
      <c r="B38" s="11">
        <f t="shared" si="11"/>
        <v>0</v>
      </c>
      <c r="C38" s="11">
        <f t="shared" si="10"/>
        <v>0</v>
      </c>
      <c r="E38" s="61">
        <f t="shared" si="3"/>
        <v>0</v>
      </c>
      <c r="F38" s="61"/>
      <c r="G38" s="62">
        <f t="shared" si="4"/>
        <v>0</v>
      </c>
      <c r="H38" s="62"/>
      <c r="I38" s="62"/>
      <c r="J38" s="61">
        <f t="shared" si="5"/>
        <v>0</v>
      </c>
      <c r="K38" s="61"/>
      <c r="L38" s="61"/>
      <c r="M38" s="62">
        <f t="shared" si="6"/>
        <v>0</v>
      </c>
      <c r="N38" s="62"/>
      <c r="O38" s="62"/>
      <c r="P38" s="62"/>
      <c r="Q38" s="61">
        <f t="shared" si="7"/>
        <v>0</v>
      </c>
      <c r="R38" s="61"/>
      <c r="S38" s="61"/>
      <c r="T38" s="61"/>
      <c r="U38" s="62">
        <f t="shared" si="8"/>
        <v>0</v>
      </c>
      <c r="V38" s="62"/>
      <c r="W38" s="62"/>
      <c r="X38" s="62"/>
      <c r="Y38" s="62"/>
      <c r="Z38" s="61">
        <f t="shared" si="9"/>
        <v>0</v>
      </c>
      <c r="AA38" s="61"/>
      <c r="AB38" s="61"/>
      <c r="AC38" s="61"/>
      <c r="AD38" s="61"/>
    </row>
    <row r="39" spans="2:31">
      <c r="B39" s="11">
        <f t="shared" ref="B39:B40" si="13">B22</f>
        <v>0</v>
      </c>
      <c r="C39" s="11">
        <f t="shared" ref="C39" si="14">C22</f>
        <v>0</v>
      </c>
      <c r="E39" s="61">
        <f t="shared" si="3"/>
        <v>0</v>
      </c>
      <c r="F39" s="61"/>
      <c r="G39" s="62">
        <f t="shared" si="4"/>
        <v>0</v>
      </c>
      <c r="H39" s="62"/>
      <c r="I39" s="62"/>
      <c r="J39" s="61">
        <f t="shared" si="5"/>
        <v>0</v>
      </c>
      <c r="K39" s="61"/>
      <c r="L39" s="61"/>
      <c r="M39" s="62">
        <f t="shared" si="6"/>
        <v>0</v>
      </c>
      <c r="N39" s="62"/>
      <c r="O39" s="62"/>
      <c r="P39" s="62"/>
      <c r="Q39" s="61">
        <f t="shared" si="7"/>
        <v>0</v>
      </c>
      <c r="R39" s="61"/>
      <c r="S39" s="61"/>
      <c r="T39" s="61"/>
      <c r="U39" s="62">
        <f t="shared" ref="U39:U40" si="15">COUNTIF(E22:AI22,"DA")</f>
        <v>0</v>
      </c>
      <c r="V39" s="62"/>
      <c r="W39" s="62"/>
      <c r="X39" s="62"/>
      <c r="Y39" s="62"/>
      <c r="Z39" s="61">
        <f t="shared" ref="Z39:Z40" si="16">COUNTIF(E22:AI22,"HA")</f>
        <v>0</v>
      </c>
      <c r="AA39" s="61"/>
      <c r="AB39" s="61"/>
      <c r="AC39" s="61"/>
      <c r="AD39" s="61"/>
    </row>
    <row r="40" spans="2:31">
      <c r="B40" s="11">
        <f t="shared" si="13"/>
        <v>0</v>
      </c>
      <c r="C40" s="11">
        <f>C23</f>
        <v>0</v>
      </c>
      <c r="E40" s="61">
        <f t="shared" ref="E40" si="17">COUNTIF(E23:AI23,"L")</f>
        <v>0</v>
      </c>
      <c r="F40" s="61"/>
      <c r="G40" s="62">
        <f t="shared" si="4"/>
        <v>0</v>
      </c>
      <c r="H40" s="62"/>
      <c r="I40" s="62"/>
      <c r="J40" s="61">
        <f t="shared" ref="J40" si="18">COUNTIF(E23:AI23,"H")</f>
        <v>0</v>
      </c>
      <c r="K40" s="61"/>
      <c r="L40" s="61"/>
      <c r="M40" s="62">
        <f t="shared" ref="M40" si="19">COUNTIF(E23:AI23,"O")</f>
        <v>0</v>
      </c>
      <c r="N40" s="62"/>
      <c r="O40" s="62"/>
      <c r="P40" s="62"/>
      <c r="Q40" s="61">
        <f t="shared" si="7"/>
        <v>0</v>
      </c>
      <c r="R40" s="61"/>
      <c r="S40" s="61"/>
      <c r="T40" s="61"/>
      <c r="U40" s="62">
        <f t="shared" si="15"/>
        <v>0</v>
      </c>
      <c r="V40" s="62"/>
      <c r="W40" s="62"/>
      <c r="X40" s="62"/>
      <c r="Y40" s="62"/>
      <c r="Z40" s="61">
        <f t="shared" si="16"/>
        <v>0</v>
      </c>
      <c r="AA40" s="61"/>
      <c r="AB40" s="61"/>
      <c r="AC40" s="61"/>
      <c r="AD40" s="61"/>
    </row>
    <row r="41" spans="2:31">
      <c r="AE41" t="s">
        <v>41</v>
      </c>
    </row>
  </sheetData>
  <autoFilter ref="B25:C40">
    <sortState ref="B25:C40">
      <sortCondition ref="C24"/>
    </sortState>
  </autoFilter>
  <mergeCells count="130">
    <mergeCell ref="AP2:AP7"/>
    <mergeCell ref="AP9:AP23"/>
    <mergeCell ref="AQ2:AQ7"/>
    <mergeCell ref="AQ9:AQ23"/>
    <mergeCell ref="E4:AI5"/>
    <mergeCell ref="AK2:AK7"/>
    <mergeCell ref="AK9:AK23"/>
    <mergeCell ref="AL2:AL7"/>
    <mergeCell ref="AL9:AL23"/>
    <mergeCell ref="AM2:AM7"/>
    <mergeCell ref="AM9:AM23"/>
    <mergeCell ref="AN2:AN7"/>
    <mergeCell ref="AN9:AN23"/>
    <mergeCell ref="AO2:AO7"/>
    <mergeCell ref="AO9:AO23"/>
    <mergeCell ref="B2:AI2"/>
    <mergeCell ref="B7:B8"/>
    <mergeCell ref="C7:C8"/>
    <mergeCell ref="E39:F39"/>
    <mergeCell ref="G39:I39"/>
    <mergeCell ref="J39:L39"/>
    <mergeCell ref="M39:P39"/>
    <mergeCell ref="Q39:T39"/>
    <mergeCell ref="U39:Y39"/>
    <mergeCell ref="Z39:AD39"/>
    <mergeCell ref="E40:F40"/>
    <mergeCell ref="G40:I40"/>
    <mergeCell ref="J40:L40"/>
    <mergeCell ref="M40:P40"/>
    <mergeCell ref="Q40:T40"/>
    <mergeCell ref="U40:Y40"/>
    <mergeCell ref="Z40:AD40"/>
    <mergeCell ref="E37:F37"/>
    <mergeCell ref="G37:I37"/>
    <mergeCell ref="J37:L37"/>
    <mergeCell ref="M37:P37"/>
    <mergeCell ref="Q37:T37"/>
    <mergeCell ref="U37:Y37"/>
    <mergeCell ref="Z37:AD37"/>
    <mergeCell ref="E38:F38"/>
    <mergeCell ref="G38:I38"/>
    <mergeCell ref="J38:L38"/>
    <mergeCell ref="M38:P38"/>
    <mergeCell ref="Q38:T38"/>
    <mergeCell ref="U38:Y38"/>
    <mergeCell ref="Z38:AD38"/>
    <mergeCell ref="E35:F35"/>
    <mergeCell ref="G35:I35"/>
    <mergeCell ref="J35:L35"/>
    <mergeCell ref="M35:P35"/>
    <mergeCell ref="Q35:T35"/>
    <mergeCell ref="U35:Y35"/>
    <mergeCell ref="Z35:AD35"/>
    <mergeCell ref="E36:F36"/>
    <mergeCell ref="G36:I36"/>
    <mergeCell ref="J36:L36"/>
    <mergeCell ref="M36:P36"/>
    <mergeCell ref="Q36:T36"/>
    <mergeCell ref="U36:Y36"/>
    <mergeCell ref="Z36:AD36"/>
    <mergeCell ref="E33:F33"/>
    <mergeCell ref="G33:I33"/>
    <mergeCell ref="J33:L33"/>
    <mergeCell ref="M33:P33"/>
    <mergeCell ref="Q33:T33"/>
    <mergeCell ref="U33:Y33"/>
    <mergeCell ref="Z33:AD33"/>
    <mergeCell ref="E34:F34"/>
    <mergeCell ref="G34:I34"/>
    <mergeCell ref="J34:L34"/>
    <mergeCell ref="M34:P34"/>
    <mergeCell ref="Q34:T34"/>
    <mergeCell ref="U34:Y34"/>
    <mergeCell ref="Z34:AD34"/>
    <mergeCell ref="E31:F31"/>
    <mergeCell ref="G31:I31"/>
    <mergeCell ref="J31:L31"/>
    <mergeCell ref="M31:P31"/>
    <mergeCell ref="Q31:T31"/>
    <mergeCell ref="U31:Y31"/>
    <mergeCell ref="Z31:AD31"/>
    <mergeCell ref="E32:F32"/>
    <mergeCell ref="G32:I32"/>
    <mergeCell ref="J32:L32"/>
    <mergeCell ref="M32:P32"/>
    <mergeCell ref="Q32:T32"/>
    <mergeCell ref="U32:Y32"/>
    <mergeCell ref="Z32:AD32"/>
    <mergeCell ref="E29:F29"/>
    <mergeCell ref="G29:I29"/>
    <mergeCell ref="J29:L29"/>
    <mergeCell ref="M29:P29"/>
    <mergeCell ref="Q29:T29"/>
    <mergeCell ref="U29:Y29"/>
    <mergeCell ref="Z29:AD29"/>
    <mergeCell ref="E30:F30"/>
    <mergeCell ref="G30:I30"/>
    <mergeCell ref="J30:L30"/>
    <mergeCell ref="M30:P30"/>
    <mergeCell ref="Q30:T30"/>
    <mergeCell ref="U30:Y30"/>
    <mergeCell ref="Z30:AD30"/>
    <mergeCell ref="E27:F27"/>
    <mergeCell ref="G27:I27"/>
    <mergeCell ref="J27:L27"/>
    <mergeCell ref="M27:P27"/>
    <mergeCell ref="Q27:T27"/>
    <mergeCell ref="U27:Y27"/>
    <mergeCell ref="Z27:AD27"/>
    <mergeCell ref="E28:F28"/>
    <mergeCell ref="G28:I28"/>
    <mergeCell ref="J28:L28"/>
    <mergeCell ref="M28:P28"/>
    <mergeCell ref="Q28:T28"/>
    <mergeCell ref="U28:Y28"/>
    <mergeCell ref="Z28:AD28"/>
    <mergeCell ref="E25:F25"/>
    <mergeCell ref="G25:I25"/>
    <mergeCell ref="J25:L25"/>
    <mergeCell ref="M25:P25"/>
    <mergeCell ref="Q25:T25"/>
    <mergeCell ref="U25:Y25"/>
    <mergeCell ref="Z25:AD25"/>
    <mergeCell ref="E26:F26"/>
    <mergeCell ref="G26:I26"/>
    <mergeCell ref="J26:L26"/>
    <mergeCell ref="M26:P26"/>
    <mergeCell ref="Q26:T26"/>
    <mergeCell ref="U26:Y26"/>
    <mergeCell ref="Z26:AD26"/>
  </mergeCells>
  <conditionalFormatting sqref="E7:AJ8">
    <cfRule type="notContainsBlanks" dxfId="8" priority="97">
      <formula>LEN(TRIM(E7))&gt;0</formula>
    </cfRule>
  </conditionalFormatting>
  <conditionalFormatting sqref="E7:AJ23">
    <cfRule type="expression" dxfId="7" priority="98">
      <formula>E$7&lt;&gt;""</formula>
    </cfRule>
  </conditionalFormatting>
  <conditionalFormatting sqref="E9:AI23">
    <cfRule type="cellIs" dxfId="6" priority="1" operator="equal">
      <formula>"D"</formula>
    </cfRule>
    <cfRule type="cellIs" dxfId="5" priority="2" operator="equal">
      <formula>"DA"</formula>
    </cfRule>
    <cfRule type="cellIs" dxfId="4" priority="3" operator="equal">
      <formula>"HA"</formula>
    </cfRule>
    <cfRule type="cellIs" dxfId="3" priority="83" operator="equal">
      <formula>"O"</formula>
    </cfRule>
    <cfRule type="cellIs" dxfId="2" priority="84" operator="equal">
      <formula>"H"</formula>
    </cfRule>
    <cfRule type="cellIs" dxfId="1" priority="85" operator="equal">
      <formula>"L"</formula>
    </cfRule>
    <cfRule type="expression" dxfId="0" priority="99">
      <formula>E$7="Sun"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Formulas!$D$4:$D$15</xm:f>
          </x14:formula1>
          <xm:sqref>C4</xm:sqref>
        </x14:dataValidation>
        <x14:dataValidation type="list" allowBlank="1" showInputMessage="1" showErrorMessage="1">
          <x14:formula1>
            <xm:f>Formulas!$E$4:$E$7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"/>
  <sheetViews>
    <sheetView workbookViewId="0">
      <selection activeCell="B4" sqref="B4"/>
    </sheetView>
  </sheetViews>
  <sheetFormatPr defaultColWidth="9" defaultRowHeight="15"/>
  <cols>
    <col min="1" max="1" width="15.7109375" customWidth="1"/>
    <col min="2" max="2" width="11.42578125" customWidth="1"/>
    <col min="4" max="4" width="10.7109375" customWidth="1"/>
  </cols>
  <sheetData>
    <row r="2" spans="1:9">
      <c r="A2" s="94" t="s">
        <v>42</v>
      </c>
      <c r="B2" s="94"/>
    </row>
    <row r="4" spans="1:9">
      <c r="A4" t="s">
        <v>33</v>
      </c>
      <c r="B4" s="1">
        <v>6.9444444444444397E-3</v>
      </c>
      <c r="D4" t="s">
        <v>43</v>
      </c>
      <c r="E4">
        <v>2024</v>
      </c>
    </row>
    <row r="5" spans="1:9">
      <c r="A5" t="s">
        <v>44</v>
      </c>
      <c r="B5" s="1">
        <v>4.1666666666666699E-2</v>
      </c>
      <c r="D5" t="s">
        <v>45</v>
      </c>
      <c r="E5">
        <v>2025</v>
      </c>
    </row>
    <row r="6" spans="1:9">
      <c r="A6" t="s">
        <v>46</v>
      </c>
      <c r="B6" s="1">
        <v>0.125</v>
      </c>
      <c r="D6" t="s">
        <v>47</v>
      </c>
      <c r="E6">
        <v>2026</v>
      </c>
    </row>
    <row r="7" spans="1:9">
      <c r="D7" t="s">
        <v>48</v>
      </c>
      <c r="E7">
        <v>2027</v>
      </c>
    </row>
    <row r="8" spans="1:9">
      <c r="A8" s="94" t="s">
        <v>49</v>
      </c>
      <c r="B8" s="94"/>
      <c r="D8" t="s">
        <v>50</v>
      </c>
      <c r="E8">
        <v>2028</v>
      </c>
      <c r="I8" s="2"/>
    </row>
    <row r="9" spans="1:9">
      <c r="D9" t="s">
        <v>51</v>
      </c>
      <c r="E9">
        <v>2029</v>
      </c>
    </row>
    <row r="10" spans="1:9">
      <c r="A10" t="s">
        <v>33</v>
      </c>
      <c r="B10" s="1">
        <v>6.9444444444444397E-3</v>
      </c>
      <c r="D10" t="s">
        <v>29</v>
      </c>
      <c r="E10">
        <v>2030</v>
      </c>
    </row>
    <row r="11" spans="1:9">
      <c r="A11" t="s">
        <v>44</v>
      </c>
      <c r="B11" s="1">
        <v>4.1666666666666699E-2</v>
      </c>
      <c r="D11" t="s">
        <v>52</v>
      </c>
    </row>
    <row r="12" spans="1:9">
      <c r="B12" s="2"/>
      <c r="D12" t="s">
        <v>53</v>
      </c>
    </row>
    <row r="13" spans="1:9">
      <c r="D13" t="s">
        <v>54</v>
      </c>
    </row>
    <row r="14" spans="1:9">
      <c r="D14" t="s">
        <v>55</v>
      </c>
    </row>
    <row r="15" spans="1:9">
      <c r="D15" t="s">
        <v>56</v>
      </c>
    </row>
  </sheetData>
  <mergeCells count="2">
    <mergeCell ref="A2:B2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HRM (Overview)</vt:lpstr>
      <vt:lpstr>Data Sheet</vt:lpstr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created xsi:type="dcterms:W3CDTF">2006-09-16T00:00:00Z</dcterms:created>
  <dcterms:modified xsi:type="dcterms:W3CDTF">2026-09-30T09:40:28Z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583F4794F9B049CAA06ADFCD1BBE4C63_12</vt:lpwstr>
  </property>
  <property fmtid="{D5CDD505-2E9C-101B-9397-08002B2CF9AE}" pid="3" name="KSOProductBuildVer">
    <vt:lpwstr>1033-12.2.0.21546</vt:lpwstr>
  </property>
</Properties>
</file>